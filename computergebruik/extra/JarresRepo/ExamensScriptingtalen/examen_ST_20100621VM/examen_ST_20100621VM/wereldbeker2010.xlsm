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9708" yWindow="120" windowWidth="5520" windowHeight="7140"/>
  </bookViews>
  <sheets>
    <sheet name="invulformulier" sheetId="1" r:id="rId1"/>
    <sheet name="rangschikking" sheetId="4" r:id="rId2"/>
  </sheets>
  <externalReferences>
    <externalReference r:id="rId3"/>
  </externalReferences>
  <definedNames>
    <definedName name="_Key1" hidden="1">#REF!</definedName>
    <definedName name="_Key2" hidden="1">#REF!</definedName>
    <definedName name="_key33333" hidden="1">#REF!</definedName>
    <definedName name="_key4444" hidden="1">#REF!</definedName>
    <definedName name="_Order1" hidden="1">0</definedName>
    <definedName name="_Order2" hidden="1">0</definedName>
    <definedName name="_Sort" hidden="1">#REF!</definedName>
    <definedName name="_xlnm.Print_Area" localSheetId="0">invulformulier!$A$1:$BI$63</definedName>
    <definedName name="Bulgaria_Against">invulformulier!$G$14,invulformulier!$H$21,invulformulier!$G$30</definedName>
    <definedName name="Bulgaria_Played">invulformulier!$H$14,invulformulier!$G$21,invulformulier!$H$30</definedName>
    <definedName name="Bulgaria_Results">invulformulier!$S$14,invulformulier!$S$21,invulformulier!$S$29</definedName>
    <definedName name="Croatia_Against">invulformulier!$G$11,invulformulier!$H$20,invulformulier!$H$28</definedName>
    <definedName name="Croatia_Played">invulformulier!$H$11,invulformulier!$G$20,invulformulier!$G$28</definedName>
    <definedName name="Croatia_Results">invulformulier!$S$11,invulformulier!$S$20,invulformulier!$S$27</definedName>
    <definedName name="Czech_Against">invulformulier!$H$16,invulformulier!$G$24,invulformulier!$G$33</definedName>
    <definedName name="Czech_Played">invulformulier!$G$16,invulformulier!$H$24,invulformulier!$H$33</definedName>
    <definedName name="Czech_Rep_Against">invulformulier!$H$16,invulformulier!$G$24,invulformulier!$G$33</definedName>
    <definedName name="Czech_Rep_Played">invulformulier!$G$16,invulformulier!$H$24,invulformulier!$H$33</definedName>
    <definedName name="Czech_Rep_Results">invulformulier!$S$16,invulformulier!$S$24,invulformulier!$S$32</definedName>
    <definedName name="Czech_Results">invulformulier!$S$16,invulformulier!$S$24,invulformulier!$S$32</definedName>
    <definedName name="Denmark_Against">invulformulier!$H$13,invulformulier!$G$21,invulformulier!$H$31</definedName>
    <definedName name="Denmark_Played">invulformulier!$G$13,invulformulier!$H$21,invulformulier!$G$31</definedName>
    <definedName name="Denmark_Results">invulformulier!$S$13,invulformulier!$S$21,invulformulier!$S$30</definedName>
    <definedName name="Drawpoints">'[1]Group Points'!$B$5</definedName>
    <definedName name="EmployeeData">#REF!</definedName>
    <definedName name="England_Against">invulformulier!$G$12,invulformulier!$H$19,invulformulier!$G$28</definedName>
    <definedName name="England_Played">invulformulier!$H$12,invulformulier!$G$19,invulformulier!$H$28</definedName>
    <definedName name="England_Results">invulformulier!$S$12,invulformulier!$S$19,invulformulier!$S$27</definedName>
    <definedName name="France_Against">invulformulier!$H$12,invulformulier!$G$20,invulformulier!$G$29</definedName>
    <definedName name="France_Played">invulformulier!$G$12,invulformulier!$H$20,invulformulier!$H$29</definedName>
    <definedName name="France_Results">invulformulier!$S$12,invulformulier!$S$20,invulformulier!$S$28</definedName>
    <definedName name="Germany_Against">invulformulier!$H$15,invulformulier!$G$23,invulformulier!$H$33</definedName>
    <definedName name="Germany_Played">invulformulier!$G$15,invulformulier!$H$23,invulformulier!$G$33</definedName>
    <definedName name="Germany_Results">invulformulier!$S$15,invulformulier!$S$23,invulformulier!$S$32</definedName>
    <definedName name="Greece_Against">invulformulier!$G$9,invulformulier!$H$17,invulformulier!$G$26</definedName>
    <definedName name="Greece_Played">invulformulier!$H$9,invulformulier!$G$17,invulformulier!$H$26</definedName>
    <definedName name="Greece_Results">invulformulier!$S$9,invulformulier!$S$17,invulformulier!$S$25</definedName>
    <definedName name="Groupstage_Losers">invulformulier!$T$9:$T$32</definedName>
    <definedName name="Groupstage_Winners">invulformulier!$S$9:$S$32</definedName>
    <definedName name="Holland_Against">invulformulier!$G$15,invulformulier!$H$24,invulformulier!$H$32</definedName>
    <definedName name="Holland_Played">invulformulier!$H$15,invulformulier!$G$24,invulformulier!$G$32</definedName>
    <definedName name="Holland_Results">invulformulier!$S$15,invulformulier!$S$24,invulformulier!$S$31</definedName>
    <definedName name="Italy_Against">invulformulier!$G$13,invulformulier!$H$22,invulformulier!$H$30</definedName>
    <definedName name="Italy_Played">invulformulier!$H$13,invulformulier!$G$22,invulformulier!$G$30</definedName>
    <definedName name="Italy_Results">invulformulier!$S$13,invulformulier!$S$22,invulformulier!$S$29</definedName>
    <definedName name="Latvia_Against">invulformulier!$G$16,invulformulier!$H$23,invulformulier!$G$32</definedName>
    <definedName name="Latvia_Played">invulformulier!$H$16,invulformulier!$G$23,invulformulier!$H$32</definedName>
    <definedName name="Latvia_Results">invulformulier!$S$16,invulformulier!$S$23,invulformulier!$S$31</definedName>
    <definedName name="Portugal_Against">invulformulier!$H$9,invulformulier!$G$18,invulformulier!$G$27</definedName>
    <definedName name="Portugal_Played">invulformulier!$G$9,invulformulier!$H$18,invulformulier!$H$27</definedName>
    <definedName name="Portugal_Results">invulformulier!$S$9,invulformulier!$S$18,invulformulier!$S$26</definedName>
    <definedName name="Russia_Against">invulformulier!$G$10,invulformulier!$H$18,invulformulier!$H$26</definedName>
    <definedName name="Russia_Played">invulformulier!$H$10,invulformulier!$G$18,invulformulier!$G$26</definedName>
    <definedName name="Russia_Results">invulformulier!$S$10,invulformulier!$S$18,invulformulier!$S$25</definedName>
    <definedName name="Spain_Against">invulformulier!$H$10,invulformulier!$G$17,invulformulier!$H$27</definedName>
    <definedName name="Spain_Played">invulformulier!$G$10,invulformulier!$H$17,invulformulier!$G$27</definedName>
    <definedName name="Spain_Results">invulformulier!$S$10,invulformulier!$S$17,invulformulier!$S$26</definedName>
    <definedName name="Sweden_Against">invulformulier!$H$14,invulformulier!$G$22,invulformulier!$G$31</definedName>
    <definedName name="Sweden_Played">invulformulier!$G$14,invulformulier!$H$22,invulformulier!$H$31</definedName>
    <definedName name="Sweden_Results">invulformulier!$S$14,invulformulier!$S$22,invulformulier!$S$30</definedName>
    <definedName name="Switzerland_Against">invulformulier!$H$11,invulformulier!$G$19,invulformulier!$H$29</definedName>
    <definedName name="Switzerland_Played">invulformulier!$G$11,invulformulier!$H$19,invulformulier!$G$29</definedName>
    <definedName name="Switzerland_Results">invulformulier!$S$11,invulformulier!$S$19,invulformulier!$S$28</definedName>
    <definedName name="Week_1">#REF!</definedName>
    <definedName name="Week1">#REF!</definedName>
    <definedName name="Winpoints">'[1]Group Points'!$B$4</definedName>
  </definedNames>
  <calcPr calcId="125725"/>
</workbook>
</file>

<file path=xl/calcChain.xml><?xml version="1.0" encoding="utf-8"?>
<calcChain xmlns="http://schemas.openxmlformats.org/spreadsheetml/2006/main">
  <c r="G60" i="1"/>
  <c r="U8"/>
  <c r="V7" s="1"/>
  <c r="W8"/>
  <c r="X8"/>
  <c r="Y8"/>
  <c r="Z8"/>
  <c r="AA8"/>
  <c r="AB8"/>
  <c r="AC8"/>
  <c r="AD8"/>
  <c r="AE8"/>
  <c r="AF8"/>
  <c r="AG8"/>
  <c r="AJ8"/>
  <c r="U9"/>
  <c r="W7" s="1"/>
  <c r="V9"/>
  <c r="X9"/>
  <c r="AE9"/>
  <c r="AF9"/>
  <c r="AG9"/>
  <c r="AI9"/>
  <c r="B10"/>
  <c r="U10"/>
  <c r="X7" s="1"/>
  <c r="V10"/>
  <c r="W10"/>
  <c r="Y10"/>
  <c r="Z10"/>
  <c r="AA10"/>
  <c r="AB10"/>
  <c r="AC10"/>
  <c r="AD10"/>
  <c r="AE10"/>
  <c r="AF10"/>
  <c r="AG10"/>
  <c r="AI10"/>
  <c r="AJ10"/>
  <c r="B11"/>
  <c r="U11"/>
  <c r="Y7" s="1"/>
  <c r="V11"/>
  <c r="W11"/>
  <c r="Y9" s="1"/>
  <c r="X11"/>
  <c r="Z11"/>
  <c r="AA11"/>
  <c r="AB11"/>
  <c r="AC11"/>
  <c r="AD11"/>
  <c r="AE11"/>
  <c r="AF11"/>
  <c r="AG11"/>
  <c r="AI11"/>
  <c r="AJ11"/>
  <c r="B12"/>
  <c r="B13"/>
  <c r="B14"/>
  <c r="W50"/>
  <c r="AE50"/>
  <c r="AF50"/>
  <c r="AG50"/>
  <c r="V51"/>
  <c r="AF51"/>
  <c r="AE51"/>
  <c r="AG51"/>
  <c r="Y52"/>
  <c r="AE52"/>
  <c r="AF52"/>
  <c r="AG52"/>
  <c r="X53"/>
  <c r="AE53"/>
  <c r="AF53"/>
  <c r="AG53"/>
  <c r="B15"/>
  <c r="U15"/>
  <c r="V14" s="1"/>
  <c r="W15"/>
  <c r="X15"/>
  <c r="Y15"/>
  <c r="Z15"/>
  <c r="AA15"/>
  <c r="AB15"/>
  <c r="AC15"/>
  <c r="AD15"/>
  <c r="AE15"/>
  <c r="AF15"/>
  <c r="AG15"/>
  <c r="AJ15"/>
  <c r="B16"/>
  <c r="U16"/>
  <c r="W14" s="1"/>
  <c r="V16"/>
  <c r="X16"/>
  <c r="AE16"/>
  <c r="AF16"/>
  <c r="AG16"/>
  <c r="AI16"/>
  <c r="B17"/>
  <c r="U17"/>
  <c r="X14" s="1"/>
  <c r="V17"/>
  <c r="W17"/>
  <c r="Y17"/>
  <c r="Z17"/>
  <c r="AA17"/>
  <c r="AB17"/>
  <c r="AC17"/>
  <c r="AD17"/>
  <c r="AE17"/>
  <c r="AF17"/>
  <c r="AG17"/>
  <c r="AI17"/>
  <c r="AJ17"/>
  <c r="B18"/>
  <c r="U18"/>
  <c r="Y14" s="1"/>
  <c r="V18"/>
  <c r="W18"/>
  <c r="Y16" s="1"/>
  <c r="X18"/>
  <c r="Z18"/>
  <c r="AA18"/>
  <c r="AB18"/>
  <c r="AC18"/>
  <c r="AD18"/>
  <c r="AE18"/>
  <c r="AF18"/>
  <c r="AG18"/>
  <c r="AI18"/>
  <c r="AJ18"/>
  <c r="B19"/>
  <c r="B20"/>
  <c r="B21"/>
  <c r="B22"/>
  <c r="U22"/>
  <c r="V21" s="1"/>
  <c r="W22"/>
  <c r="X22"/>
  <c r="Y22"/>
  <c r="Z22"/>
  <c r="AA22"/>
  <c r="AB22"/>
  <c r="AC22"/>
  <c r="AD22"/>
  <c r="AE22"/>
  <c r="AF22"/>
  <c r="AG22"/>
  <c r="AJ22"/>
  <c r="B23"/>
  <c r="U23"/>
  <c r="W21" s="1"/>
  <c r="V23"/>
  <c r="X23"/>
  <c r="AE23"/>
  <c r="AF23"/>
  <c r="AG23"/>
  <c r="AI23"/>
  <c r="B24"/>
  <c r="U24"/>
  <c r="X21" s="1"/>
  <c r="V24"/>
  <c r="W24"/>
  <c r="Y24"/>
  <c r="Z24"/>
  <c r="AA24"/>
  <c r="AB24"/>
  <c r="AC24"/>
  <c r="AD24"/>
  <c r="AE24"/>
  <c r="AF24"/>
  <c r="AG24"/>
  <c r="AI24"/>
  <c r="AJ24"/>
  <c r="U25"/>
  <c r="Y21" s="1"/>
  <c r="V25"/>
  <c r="W25"/>
  <c r="Y23" s="1"/>
  <c r="X25"/>
  <c r="Z25"/>
  <c r="AA25"/>
  <c r="AB25"/>
  <c r="AC25"/>
  <c r="AD25"/>
  <c r="AE25"/>
  <c r="AF25"/>
  <c r="AG25"/>
  <c r="AI25"/>
  <c r="AJ25"/>
  <c r="B26"/>
  <c r="B27"/>
  <c r="B28"/>
  <c r="B29"/>
  <c r="U29"/>
  <c r="V28" s="1"/>
  <c r="W29"/>
  <c r="X29"/>
  <c r="Y29"/>
  <c r="Z29"/>
  <c r="AA29"/>
  <c r="AB29"/>
  <c r="AC29"/>
  <c r="AD29"/>
  <c r="AE29"/>
  <c r="AF29"/>
  <c r="AG29"/>
  <c r="AJ29"/>
  <c r="B30"/>
  <c r="U30"/>
  <c r="W28" s="1"/>
  <c r="V30"/>
  <c r="X30"/>
  <c r="AE30"/>
  <c r="AF30"/>
  <c r="AG30"/>
  <c r="AI30"/>
  <c r="B31"/>
  <c r="U31"/>
  <c r="X28" s="1"/>
  <c r="V31"/>
  <c r="W31"/>
  <c r="Y31"/>
  <c r="Z31"/>
  <c r="AA31"/>
  <c r="AB31"/>
  <c r="AC31"/>
  <c r="AD31"/>
  <c r="AE31"/>
  <c r="AF31"/>
  <c r="AG31"/>
  <c r="AI31"/>
  <c r="AJ31"/>
  <c r="B32"/>
  <c r="U32"/>
  <c r="Y28" s="1"/>
  <c r="V32"/>
  <c r="W32"/>
  <c r="Y30" s="1"/>
  <c r="X32"/>
  <c r="Z32"/>
  <c r="AA32"/>
  <c r="AB32"/>
  <c r="AC32"/>
  <c r="AD32"/>
  <c r="AE32"/>
  <c r="AF32"/>
  <c r="AG32"/>
  <c r="AI32"/>
  <c r="AJ32"/>
  <c r="B33"/>
  <c r="B34"/>
  <c r="B35"/>
  <c r="B36"/>
  <c r="U36"/>
  <c r="V35" s="1"/>
  <c r="W36"/>
  <c r="X36"/>
  <c r="Y36"/>
  <c r="Z36"/>
  <c r="AA36"/>
  <c r="AB36"/>
  <c r="AC36"/>
  <c r="AD36"/>
  <c r="AE36"/>
  <c r="AF36"/>
  <c r="AG36"/>
  <c r="AJ36"/>
  <c r="B37"/>
  <c r="U37"/>
  <c r="W35" s="1"/>
  <c r="V37"/>
  <c r="X37"/>
  <c r="AE37"/>
  <c r="AF37"/>
  <c r="AG37"/>
  <c r="AI37"/>
  <c r="B38"/>
  <c r="U38"/>
  <c r="X35" s="1"/>
  <c r="V38"/>
  <c r="W38"/>
  <c r="Y38"/>
  <c r="Z38"/>
  <c r="AA38"/>
  <c r="AB38"/>
  <c r="AC38"/>
  <c r="AD38"/>
  <c r="AE38"/>
  <c r="AF38"/>
  <c r="AG38"/>
  <c r="AI38"/>
  <c r="AJ38"/>
  <c r="B39"/>
  <c r="U39"/>
  <c r="Y35" s="1"/>
  <c r="V39"/>
  <c r="W39"/>
  <c r="Y37" s="1"/>
  <c r="X39"/>
  <c r="Z39"/>
  <c r="AA39"/>
  <c r="AB39"/>
  <c r="AC39"/>
  <c r="AD39"/>
  <c r="AE39"/>
  <c r="AF39"/>
  <c r="AG39"/>
  <c r="AI39"/>
  <c r="AJ39"/>
  <c r="B40"/>
  <c r="B41"/>
  <c r="B43"/>
  <c r="U43"/>
  <c r="V42" s="1"/>
  <c r="W43"/>
  <c r="X43"/>
  <c r="Y43"/>
  <c r="Z43"/>
  <c r="AA43"/>
  <c r="AB43"/>
  <c r="AC43"/>
  <c r="AD43"/>
  <c r="AE43"/>
  <c r="AF43"/>
  <c r="AG43"/>
  <c r="AJ43"/>
  <c r="B44"/>
  <c r="U44"/>
  <c r="W42" s="1"/>
  <c r="V44"/>
  <c r="X44"/>
  <c r="AE44"/>
  <c r="AF44"/>
  <c r="AG44"/>
  <c r="AI44"/>
  <c r="B45"/>
  <c r="U45"/>
  <c r="X42" s="1"/>
  <c r="V45"/>
  <c r="W45"/>
  <c r="Y45"/>
  <c r="Z45"/>
  <c r="AA45"/>
  <c r="AB45"/>
  <c r="AC45"/>
  <c r="AD45"/>
  <c r="AE45"/>
  <c r="AF45"/>
  <c r="AG45"/>
  <c r="AI45"/>
  <c r="AJ45"/>
  <c r="B46"/>
  <c r="U46"/>
  <c r="Y42" s="1"/>
  <c r="V46"/>
  <c r="W46"/>
  <c r="Y44" s="1"/>
  <c r="X46"/>
  <c r="Z46"/>
  <c r="AA46"/>
  <c r="AB46"/>
  <c r="AC46"/>
  <c r="AD46"/>
  <c r="AE46"/>
  <c r="AF46"/>
  <c r="AG46"/>
  <c r="AI46"/>
  <c r="AJ46"/>
  <c r="B47"/>
  <c r="B48"/>
  <c r="B49"/>
  <c r="B50"/>
  <c r="U50"/>
  <c r="V49" s="1"/>
  <c r="X50"/>
  <c r="Y50"/>
  <c r="AB50"/>
  <c r="AC50"/>
  <c r="AD50"/>
  <c r="B51"/>
  <c r="U51"/>
  <c r="W49" s="1"/>
  <c r="X51"/>
  <c r="AI51"/>
  <c r="B52"/>
  <c r="U52"/>
  <c r="X49" s="1"/>
  <c r="V52"/>
  <c r="W52"/>
  <c r="AA52"/>
  <c r="AB52"/>
  <c r="AC52"/>
  <c r="AD52"/>
  <c r="AI52"/>
  <c r="B53"/>
  <c r="U53"/>
  <c r="Y49" s="1"/>
  <c r="V53"/>
  <c r="W53"/>
  <c r="Y51" s="1"/>
  <c r="AA53"/>
  <c r="AB53"/>
  <c r="AC53"/>
  <c r="AD53"/>
  <c r="AI53"/>
  <c r="B54"/>
  <c r="B55"/>
  <c r="B56"/>
  <c r="B57"/>
  <c r="U57"/>
  <c r="V56" s="1"/>
  <c r="W57"/>
  <c r="X57"/>
  <c r="Y57"/>
  <c r="Z57"/>
  <c r="AA57"/>
  <c r="AB57"/>
  <c r="AC57"/>
  <c r="AD57"/>
  <c r="AE57"/>
  <c r="AF57"/>
  <c r="AG57"/>
  <c r="AJ57"/>
  <c r="B58"/>
  <c r="U58"/>
  <c r="W56" s="1"/>
  <c r="V58"/>
  <c r="X58"/>
  <c r="AE58"/>
  <c r="AF58"/>
  <c r="AG58"/>
  <c r="AI58"/>
  <c r="U59"/>
  <c r="X56" s="1"/>
  <c r="V59"/>
  <c r="W59"/>
  <c r="Y59"/>
  <c r="Z59"/>
  <c r="AA59"/>
  <c r="AB59"/>
  <c r="AC59"/>
  <c r="AD59"/>
  <c r="AE59"/>
  <c r="AF59"/>
  <c r="AG59"/>
  <c r="AI59"/>
  <c r="AJ59"/>
  <c r="U60"/>
  <c r="Y56" s="1"/>
  <c r="V60"/>
  <c r="W60"/>
  <c r="Y58" s="1"/>
  <c r="X60"/>
  <c r="Z60"/>
  <c r="AA60"/>
  <c r="AB60"/>
  <c r="AC60"/>
  <c r="AD60"/>
  <c r="AE60"/>
  <c r="AF60"/>
  <c r="AG60"/>
  <c r="AI60"/>
  <c r="AJ60"/>
  <c r="Z58" l="1"/>
  <c r="AJ58" s="1"/>
  <c r="AA58"/>
  <c r="AB58"/>
  <c r="AC58"/>
  <c r="AD58"/>
  <c r="AB51"/>
  <c r="AC51"/>
  <c r="AD51"/>
  <c r="Z44"/>
  <c r="AJ44" s="1"/>
  <c r="AA44"/>
  <c r="AB44"/>
  <c r="AC44"/>
  <c r="AD44"/>
  <c r="Z37"/>
  <c r="AJ37" s="1"/>
  <c r="AA37"/>
  <c r="AB37"/>
  <c r="AC37"/>
  <c r="AD37"/>
  <c r="Z51"/>
  <c r="AJ51" s="1"/>
  <c r="AA51"/>
  <c r="Z50"/>
  <c r="AJ50" s="1"/>
  <c r="AA50"/>
  <c r="Z30"/>
  <c r="AJ30" s="1"/>
  <c r="AA30"/>
  <c r="AB30"/>
  <c r="AC30"/>
  <c r="AD30"/>
  <c r="Z23"/>
  <c r="AJ23" s="1"/>
  <c r="AA23"/>
  <c r="AB23"/>
  <c r="AC23"/>
  <c r="AD23"/>
  <c r="Z16"/>
  <c r="AJ16" s="1"/>
  <c r="AA16"/>
  <c r="AB16"/>
  <c r="AC16"/>
  <c r="AD16"/>
  <c r="Z9"/>
  <c r="AJ9" s="1"/>
  <c r="AA9"/>
  <c r="AB9"/>
  <c r="AC9"/>
  <c r="AD9"/>
  <c r="Z53"/>
  <c r="AJ53" s="1"/>
  <c r="Z52"/>
  <c r="AJ52" s="1"/>
  <c r="AK52" s="1"/>
  <c r="AK8" l="1"/>
  <c r="AK9"/>
  <c r="AK10"/>
  <c r="AK11"/>
  <c r="AK15"/>
  <c r="AK16"/>
  <c r="AK17"/>
  <c r="AK18"/>
  <c r="AK22"/>
  <c r="AK23"/>
  <c r="AK24"/>
  <c r="AK25"/>
  <c r="AK29"/>
  <c r="AK30"/>
  <c r="AK31"/>
  <c r="AK32"/>
  <c r="AK36"/>
  <c r="AK37"/>
  <c r="AK38"/>
  <c r="AK39"/>
  <c r="AK43"/>
  <c r="AK44"/>
  <c r="AK45"/>
  <c r="AK46"/>
  <c r="AK57"/>
  <c r="AK58"/>
  <c r="AK59"/>
  <c r="AK60"/>
  <c r="AK53"/>
  <c r="AK50"/>
  <c r="AK51"/>
  <c r="AW8" l="1"/>
  <c r="AP50"/>
  <c r="AP51"/>
  <c r="AO50"/>
  <c r="BN19" s="1"/>
  <c r="AO51"/>
  <c r="BN20" s="1"/>
  <c r="AQ50"/>
  <c r="AR50"/>
  <c r="AS50"/>
  <c r="AT50"/>
  <c r="AU50"/>
  <c r="AV50"/>
  <c r="AW50"/>
  <c r="AQ51"/>
  <c r="AR51"/>
  <c r="AS51"/>
  <c r="AT51"/>
  <c r="AU51"/>
  <c r="AV51"/>
  <c r="AW51"/>
  <c r="AO52"/>
  <c r="AP52"/>
  <c r="AQ52"/>
  <c r="AR52"/>
  <c r="AS52"/>
  <c r="AT52"/>
  <c r="AU52"/>
  <c r="AV52"/>
  <c r="AW52"/>
  <c r="AO53"/>
  <c r="AP53"/>
  <c r="AQ53"/>
  <c r="AR53"/>
  <c r="AS53"/>
  <c r="AT53"/>
  <c r="AU53"/>
  <c r="AV53"/>
  <c r="AW53"/>
  <c r="AP58"/>
  <c r="AP57"/>
  <c r="AO57"/>
  <c r="BN21" s="1"/>
  <c r="AO58"/>
  <c r="BN22" s="1"/>
  <c r="AQ57"/>
  <c r="AR57"/>
  <c r="AS57"/>
  <c r="AT57"/>
  <c r="AU57"/>
  <c r="AV57"/>
  <c r="AW57"/>
  <c r="AQ58"/>
  <c r="AR58"/>
  <c r="AS58"/>
  <c r="AT58"/>
  <c r="AU58"/>
  <c r="AV58"/>
  <c r="AW58"/>
  <c r="AO59"/>
  <c r="AP59"/>
  <c r="AQ59"/>
  <c r="AR59"/>
  <c r="AS59"/>
  <c r="AT59"/>
  <c r="AU59"/>
  <c r="AV59"/>
  <c r="AW59"/>
  <c r="AO60"/>
  <c r="AP60"/>
  <c r="AQ60"/>
  <c r="AR60"/>
  <c r="AS60"/>
  <c r="AT60"/>
  <c r="AU60"/>
  <c r="AV60"/>
  <c r="AW60"/>
  <c r="AP44"/>
  <c r="AP43"/>
  <c r="AO43"/>
  <c r="BN17" s="1"/>
  <c r="AO44"/>
  <c r="BN18" s="1"/>
  <c r="AQ43"/>
  <c r="AR43"/>
  <c r="AS43"/>
  <c r="AT43"/>
  <c r="AU43"/>
  <c r="AV43"/>
  <c r="AW43"/>
  <c r="AQ44"/>
  <c r="AR44"/>
  <c r="AS44"/>
  <c r="AT44"/>
  <c r="AU44"/>
  <c r="AV44"/>
  <c r="AW44"/>
  <c r="AO45"/>
  <c r="AP45"/>
  <c r="AQ45"/>
  <c r="AR45"/>
  <c r="AS45"/>
  <c r="AT45"/>
  <c r="AU45"/>
  <c r="AV45"/>
  <c r="AW45"/>
  <c r="AO46"/>
  <c r="AP46"/>
  <c r="AQ46"/>
  <c r="AR46"/>
  <c r="AS46"/>
  <c r="AT46"/>
  <c r="AU46"/>
  <c r="AV46"/>
  <c r="AW46"/>
  <c r="AP36"/>
  <c r="AP37"/>
  <c r="AO36"/>
  <c r="BN15" s="1"/>
  <c r="AO37"/>
  <c r="BN16" s="1"/>
  <c r="AQ36"/>
  <c r="AR36"/>
  <c r="AS36"/>
  <c r="AT36"/>
  <c r="AU36"/>
  <c r="AV36"/>
  <c r="AW36"/>
  <c r="AQ37"/>
  <c r="AR37"/>
  <c r="AS37"/>
  <c r="AT37"/>
  <c r="AU37"/>
  <c r="AV37"/>
  <c r="AW37"/>
  <c r="AO38"/>
  <c r="AP38"/>
  <c r="AQ38"/>
  <c r="AR38"/>
  <c r="AS38"/>
  <c r="AT38"/>
  <c r="AU38"/>
  <c r="AV38"/>
  <c r="AW38"/>
  <c r="AO39"/>
  <c r="AP39"/>
  <c r="AQ39"/>
  <c r="AR39"/>
  <c r="AS39"/>
  <c r="AT39"/>
  <c r="AU39"/>
  <c r="AV39"/>
  <c r="AW39"/>
  <c r="AP30"/>
  <c r="AP29"/>
  <c r="AO29"/>
  <c r="BN13" s="1"/>
  <c r="AO30"/>
  <c r="BN14" s="1"/>
  <c r="AQ29"/>
  <c r="AR29"/>
  <c r="AS29"/>
  <c r="AT29"/>
  <c r="AU29"/>
  <c r="AV29"/>
  <c r="AW29"/>
  <c r="AQ30"/>
  <c r="AR30"/>
  <c r="AS30"/>
  <c r="AT30"/>
  <c r="AU30"/>
  <c r="AV30"/>
  <c r="AW30"/>
  <c r="AO31"/>
  <c r="AP31"/>
  <c r="AQ31"/>
  <c r="AR31"/>
  <c r="AS31"/>
  <c r="AT31"/>
  <c r="AU31"/>
  <c r="AV31"/>
  <c r="AW31"/>
  <c r="AO32"/>
  <c r="AP32"/>
  <c r="AQ32"/>
  <c r="AR32"/>
  <c r="AS32"/>
  <c r="AT32"/>
  <c r="AU32"/>
  <c r="AV32"/>
  <c r="AW32"/>
  <c r="AP22"/>
  <c r="AP23"/>
  <c r="AO22"/>
  <c r="BN11" s="1"/>
  <c r="AO23"/>
  <c r="BN12" s="1"/>
  <c r="AQ22"/>
  <c r="AR22"/>
  <c r="AS22"/>
  <c r="AT22"/>
  <c r="AU22"/>
  <c r="AV22"/>
  <c r="AW22"/>
  <c r="AQ23"/>
  <c r="AR23"/>
  <c r="AS23"/>
  <c r="AT23"/>
  <c r="AU23"/>
  <c r="AV23"/>
  <c r="AW23"/>
  <c r="AO24"/>
  <c r="AP24"/>
  <c r="AQ24"/>
  <c r="AR24"/>
  <c r="AS24"/>
  <c r="AT24"/>
  <c r="AU24"/>
  <c r="AV24"/>
  <c r="AW24"/>
  <c r="AO25"/>
  <c r="AP25"/>
  <c r="AQ25"/>
  <c r="AR25"/>
  <c r="AS25"/>
  <c r="AT25"/>
  <c r="AU25"/>
  <c r="AV25"/>
  <c r="AW25"/>
  <c r="AP16"/>
  <c r="AO15"/>
  <c r="BN9" s="1"/>
  <c r="AO16"/>
  <c r="BN10" s="1"/>
  <c r="AP15"/>
  <c r="BC12" s="1"/>
  <c r="AQ15"/>
  <c r="AR15"/>
  <c r="AS15"/>
  <c r="AT15"/>
  <c r="AU15"/>
  <c r="AV15"/>
  <c r="AW15"/>
  <c r="AQ16"/>
  <c r="AR16"/>
  <c r="AS16"/>
  <c r="AT16"/>
  <c r="AU16"/>
  <c r="AV16"/>
  <c r="AW16"/>
  <c r="AO17"/>
  <c r="AP17"/>
  <c r="AQ17"/>
  <c r="AR17"/>
  <c r="AS17"/>
  <c r="AT17"/>
  <c r="AU17"/>
  <c r="AV17"/>
  <c r="AW17"/>
  <c r="AO18"/>
  <c r="AP18"/>
  <c r="AQ18"/>
  <c r="AR18"/>
  <c r="AS18"/>
  <c r="AT18"/>
  <c r="AU18"/>
  <c r="AV18"/>
  <c r="AW18"/>
  <c r="AO8"/>
  <c r="BN7" s="1"/>
  <c r="AP8"/>
  <c r="BC9" s="1"/>
  <c r="AQ8"/>
  <c r="AR8"/>
  <c r="AS8"/>
  <c r="AT8"/>
  <c r="AU8"/>
  <c r="AV8"/>
  <c r="AO9"/>
  <c r="BN8" s="1"/>
  <c r="AP9"/>
  <c r="BF12" s="1"/>
  <c r="BC25" s="1"/>
  <c r="AQ9"/>
  <c r="AR9"/>
  <c r="AS9"/>
  <c r="AT9"/>
  <c r="AU9"/>
  <c r="AV9"/>
  <c r="AW9"/>
  <c r="AO10"/>
  <c r="AP10"/>
  <c r="AQ10"/>
  <c r="AR10"/>
  <c r="AS10"/>
  <c r="AT10"/>
  <c r="AU10"/>
  <c r="AV10"/>
  <c r="AW10"/>
  <c r="AO11"/>
  <c r="AP11"/>
  <c r="AQ11"/>
  <c r="AR11"/>
  <c r="AS11"/>
  <c r="AT11"/>
  <c r="AU11"/>
  <c r="AV11"/>
  <c r="AW11"/>
  <c r="BN30" l="1"/>
  <c r="BC16"/>
  <c r="BF14"/>
  <c r="BF16"/>
  <c r="BF26" s="1"/>
  <c r="BN34" s="1"/>
  <c r="BC14"/>
  <c r="BF15"/>
  <c r="BC13"/>
  <c r="BC15"/>
  <c r="BF13"/>
  <c r="BC11"/>
  <c r="BF10"/>
  <c r="BC10"/>
  <c r="BF11"/>
  <c r="BF9"/>
  <c r="BC24" s="1"/>
  <c r="BN27" s="1"/>
  <c r="BF25" l="1"/>
  <c r="BN29" s="1"/>
  <c r="BF24"/>
  <c r="BC34"/>
  <c r="BC26"/>
  <c r="BF23"/>
  <c r="BN32" s="1"/>
  <c r="BC23"/>
  <c r="BC33"/>
  <c r="BN28"/>
  <c r="BN41"/>
  <c r="BN33"/>
  <c r="BF34"/>
  <c r="BF45" s="1"/>
  <c r="BN31"/>
  <c r="BF33"/>
  <c r="BN40" l="1"/>
  <c r="BC41"/>
  <c r="BN47" s="1"/>
  <c r="BN50"/>
  <c r="BN42"/>
  <c r="BF41"/>
  <c r="BN39"/>
  <c r="BC45"/>
  <c r="BN49" s="1"/>
  <c r="BD47" l="1"/>
  <c r="BN59" s="1"/>
  <c r="BN48"/>
  <c r="BD43"/>
  <c r="BN55" s="1"/>
</calcChain>
</file>

<file path=xl/sharedStrings.xml><?xml version="1.0" encoding="utf-8"?>
<sst xmlns="http://schemas.openxmlformats.org/spreadsheetml/2006/main" count="770" uniqueCount="346">
  <si>
    <t xml:space="preserve">        GROUP STAGE MATCHES</t>
  </si>
  <si>
    <t>Group A</t>
  </si>
  <si>
    <t>SECOND ROUND - "ROUND OF SIXTEEN"</t>
  </si>
  <si>
    <t>Match</t>
  </si>
  <si>
    <t>Date</t>
  </si>
  <si>
    <t>Time</t>
  </si>
  <si>
    <t>MATCH SCORE</t>
  </si>
  <si>
    <t>Y</t>
  </si>
  <si>
    <t>R</t>
  </si>
  <si>
    <t>Venue</t>
  </si>
  <si>
    <t>Group</t>
  </si>
  <si>
    <t>Points</t>
  </si>
  <si>
    <t xml:space="preserve"> Pts</t>
  </si>
  <si>
    <t>P</t>
  </si>
  <si>
    <t>W</t>
  </si>
  <si>
    <t>L</t>
  </si>
  <si>
    <t>D</t>
  </si>
  <si>
    <t>F</t>
  </si>
  <si>
    <t>A</t>
  </si>
  <si>
    <t>GD</t>
  </si>
  <si>
    <t>adjust</t>
  </si>
  <si>
    <t>sub-tot</t>
  </si>
  <si>
    <t>Rank</t>
  </si>
  <si>
    <t>Pos</t>
  </si>
  <si>
    <t>Pts</t>
  </si>
  <si>
    <t>Mtch Ref</t>
  </si>
  <si>
    <t>MATCH OUTCOME</t>
  </si>
  <si>
    <t>M1</t>
  </si>
  <si>
    <t>GpA-Wnr</t>
  </si>
  <si>
    <t>First Round of Group Stage Matches</t>
  </si>
  <si>
    <t>M2</t>
  </si>
  <si>
    <t>GpA-RU</t>
  </si>
  <si>
    <t>Fri, June 11th</t>
  </si>
  <si>
    <t>South Africa</t>
  </si>
  <si>
    <t>Mexico</t>
  </si>
  <si>
    <t>Johannesburg</t>
  </si>
  <si>
    <t>Sat, June 26th</t>
  </si>
  <si>
    <t>M 1</t>
  </si>
  <si>
    <t>Port Elizabeth</t>
  </si>
  <si>
    <t>GpB-Wnr</t>
  </si>
  <si>
    <t>Uruguay</t>
  </si>
  <si>
    <t>France</t>
  </si>
  <si>
    <t>Cape Town</t>
  </si>
  <si>
    <t>M 3</t>
  </si>
  <si>
    <t>Rustenburg</t>
  </si>
  <si>
    <t>GpB-RU</t>
  </si>
  <si>
    <t>Sat, June 12th</t>
  </si>
  <si>
    <t>Argentina</t>
  </si>
  <si>
    <t>Nigeria</t>
  </si>
  <si>
    <t>B</t>
  </si>
  <si>
    <t>Sun, June 27th</t>
  </si>
  <si>
    <t>M 4</t>
  </si>
  <si>
    <t>Manguang</t>
  </si>
  <si>
    <t>M3</t>
  </si>
  <si>
    <t>GpC-Wnr</t>
  </si>
  <si>
    <t>South Korea</t>
  </si>
  <si>
    <t>Greece</t>
  </si>
  <si>
    <t>M 2</t>
  </si>
  <si>
    <t>M4</t>
  </si>
  <si>
    <t>GpC-RU</t>
  </si>
  <si>
    <t>England</t>
  </si>
  <si>
    <t>USA</t>
  </si>
  <si>
    <t>C</t>
  </si>
  <si>
    <t>Group B</t>
  </si>
  <si>
    <t>Mon, June 28th</t>
  </si>
  <si>
    <t>M 5</t>
  </si>
  <si>
    <t>Durban</t>
  </si>
  <si>
    <t>GpD-Wnr</t>
  </si>
  <si>
    <t>Sun, June 13th</t>
  </si>
  <si>
    <t>Algeria</t>
  </si>
  <si>
    <t>Slovenia</t>
  </si>
  <si>
    <t>Polokwane</t>
  </si>
  <si>
    <t>M 7</t>
  </si>
  <si>
    <t>GpD-RU</t>
  </si>
  <si>
    <t>Germany</t>
  </si>
  <si>
    <t>Australia</t>
  </si>
  <si>
    <t>Tues, June 29th</t>
  </si>
  <si>
    <t>M 6</t>
  </si>
  <si>
    <t>Pretoria</t>
  </si>
  <si>
    <t>M5</t>
  </si>
  <si>
    <t>GpE-Wnr</t>
  </si>
  <si>
    <t>Serbia</t>
  </si>
  <si>
    <t>Ghana</t>
  </si>
  <si>
    <t>M 8</t>
  </si>
  <si>
    <t>M6</t>
  </si>
  <si>
    <t>GpE-RU</t>
  </si>
  <si>
    <t>Mon, June 14th</t>
  </si>
  <si>
    <t>Denmark</t>
  </si>
  <si>
    <t>E</t>
  </si>
  <si>
    <t>GpF-Wnr</t>
  </si>
  <si>
    <t>Japan</t>
  </si>
  <si>
    <t>Cameroon</t>
  </si>
  <si>
    <t>GpF-RU</t>
  </si>
  <si>
    <t>Italy</t>
  </si>
  <si>
    <t>Paraguay</t>
  </si>
  <si>
    <t>M7</t>
  </si>
  <si>
    <t>GpG-Wnr</t>
  </si>
  <si>
    <t>Tue, June 15th</t>
  </si>
  <si>
    <t>New Zealand</t>
  </si>
  <si>
    <t>Slovakia</t>
  </si>
  <si>
    <t>Group C</t>
  </si>
  <si>
    <t>THIRD ROUND - "QUARTER FINALS ROUND"</t>
  </si>
  <si>
    <t>M8</t>
  </si>
  <si>
    <t>GpG-RU</t>
  </si>
  <si>
    <t>Ivory Coast</t>
  </si>
  <si>
    <t>Portugal</t>
  </si>
  <si>
    <t>G</t>
  </si>
  <si>
    <t>GpH-Wnr</t>
  </si>
  <si>
    <t>Brazil</t>
  </si>
  <si>
    <t>North Korea</t>
  </si>
  <si>
    <t>GpH-RU</t>
  </si>
  <si>
    <t>Wed, June 16th</t>
  </si>
  <si>
    <t>Honduras</t>
  </si>
  <si>
    <t>Chile</t>
  </si>
  <si>
    <t>Nelspruit</t>
  </si>
  <si>
    <t>H</t>
  </si>
  <si>
    <t>Fri, July 2nd</t>
  </si>
  <si>
    <t>Spain</t>
  </si>
  <si>
    <t>Switzerland</t>
  </si>
  <si>
    <t>Second Round of Group Stage Matches</t>
  </si>
  <si>
    <t>Sat, July 3rd</t>
  </si>
  <si>
    <t>Insert C</t>
  </si>
  <si>
    <t>Thur, June 17th</t>
  </si>
  <si>
    <t>Group D</t>
  </si>
  <si>
    <t>1/4 - M1</t>
  </si>
  <si>
    <t>1/4 - M3</t>
  </si>
  <si>
    <t>1/4 - M4</t>
  </si>
  <si>
    <t>Fri, June 18th</t>
  </si>
  <si>
    <t>FOURTH ROUND - "SEMI FINALS ROUND"</t>
  </si>
  <si>
    <t>1/4 - M2</t>
  </si>
  <si>
    <t>1/4 - M5</t>
  </si>
  <si>
    <t>1/4 - M7</t>
  </si>
  <si>
    <t>Sat, June 19th</t>
  </si>
  <si>
    <t>Tues, July 6th</t>
  </si>
  <si>
    <t>SF-1</t>
  </si>
  <si>
    <t>1/4 - M6</t>
  </si>
  <si>
    <t>Group E</t>
  </si>
  <si>
    <t>SF-2</t>
  </si>
  <si>
    <t>1/4 - M8</t>
  </si>
  <si>
    <t>Sun, June 20th</t>
  </si>
  <si>
    <t>FIFTH ROUND - "3rd PLAY PLAY-OFF" and "FINAL"</t>
  </si>
  <si>
    <t>Mon, June 21st</t>
  </si>
  <si>
    <t>Semi - 1</t>
  </si>
  <si>
    <t>Group F</t>
  </si>
  <si>
    <t>Sat, July 10th</t>
  </si>
  <si>
    <t>3/4 P.O.</t>
  </si>
  <si>
    <t>Semi - 2</t>
  </si>
  <si>
    <t>Third &amp; Final Round of Group Stage Matches</t>
  </si>
  <si>
    <t>Tue, June 22nd</t>
  </si>
  <si>
    <t>Third Place Winner :</t>
  </si>
  <si>
    <t>Sun, July 11th</t>
  </si>
  <si>
    <t>FINAL</t>
  </si>
  <si>
    <t>Wed, June 23rd</t>
  </si>
  <si>
    <t>2010 WORLD CUP WINNER:</t>
  </si>
  <si>
    <t>3rd Pl - A</t>
  </si>
  <si>
    <t>Group G</t>
  </si>
  <si>
    <t>3rd Pl - B</t>
  </si>
  <si>
    <t>Final 1</t>
  </si>
  <si>
    <t>Final 2</t>
  </si>
  <si>
    <t>Thur, June 24th</t>
  </si>
  <si>
    <t>Fri, June 25th</t>
  </si>
  <si>
    <t>Group H</t>
  </si>
  <si>
    <t>3td Pl Wnr</t>
  </si>
  <si>
    <t>Winner</t>
  </si>
  <si>
    <t>Total Yellow &amp; Red Cards in Group Stage =</t>
  </si>
  <si>
    <r>
      <t>World Cup 2010</t>
    </r>
    <r>
      <rPr>
        <b/>
        <sz val="36"/>
        <color indexed="10"/>
        <rFont val="Verdana"/>
        <family val="2"/>
      </rPr>
      <t xml:space="preserve">                                                 </t>
    </r>
  </si>
  <si>
    <t>Netherlands</t>
  </si>
  <si>
    <t>Croatia</t>
  </si>
  <si>
    <t>Russia</t>
  </si>
  <si>
    <t>Egypt</t>
  </si>
  <si>
    <t>Norway</t>
  </si>
  <si>
    <t>Ukraine</t>
  </si>
  <si>
    <t>Israel</t>
  </si>
  <si>
    <t>Romania</t>
  </si>
  <si>
    <t>Turkey</t>
  </si>
  <si>
    <t>Czech Republic</t>
  </si>
  <si>
    <t>Colombia</t>
  </si>
  <si>
    <t>Sweden</t>
  </si>
  <si>
    <t>Bulgaria</t>
  </si>
  <si>
    <t>Costa Rica</t>
  </si>
  <si>
    <t>Republic of Ireland</t>
  </si>
  <si>
    <t>Gabon</t>
  </si>
  <si>
    <t>Scotland</t>
  </si>
  <si>
    <t>Ecuador</t>
  </si>
  <si>
    <t>Latvia</t>
  </si>
  <si>
    <t>Burkina Faso</t>
  </si>
  <si>
    <t>Venezuela</t>
  </si>
  <si>
    <t>Lithuania</t>
  </si>
  <si>
    <t>Bosnia-Herzegovina</t>
  </si>
  <si>
    <t>Finland</t>
  </si>
  <si>
    <t>Peru</t>
  </si>
  <si>
    <t>Mali</t>
  </si>
  <si>
    <t>Tunisia</t>
  </si>
  <si>
    <t>Northern Ireland</t>
  </si>
  <si>
    <t>Hungary</t>
  </si>
  <si>
    <t>Poland</t>
  </si>
  <si>
    <t>Belgium</t>
  </si>
  <si>
    <t>Benin</t>
  </si>
  <si>
    <t>Iran</t>
  </si>
  <si>
    <t>FYR Macedonia</t>
  </si>
  <si>
    <t>Canada</t>
  </si>
  <si>
    <t>Montenegro</t>
  </si>
  <si>
    <t>Bolivia</t>
  </si>
  <si>
    <t>Saudi Arabia</t>
  </si>
  <si>
    <t>Cyprus</t>
  </si>
  <si>
    <t>Austria</t>
  </si>
  <si>
    <t>Bahrain</t>
  </si>
  <si>
    <t>Morocco</t>
  </si>
  <si>
    <t>Zambia</t>
  </si>
  <si>
    <t>El Salvador</t>
  </si>
  <si>
    <t>Uganda</t>
  </si>
  <si>
    <t>Panama</t>
  </si>
  <si>
    <t>Senegal</t>
  </si>
  <si>
    <t>Togo</t>
  </si>
  <si>
    <t>Wales</t>
  </si>
  <si>
    <t>Albania</t>
  </si>
  <si>
    <t>Iraq</t>
  </si>
  <si>
    <t>Jamaica</t>
  </si>
  <si>
    <t>Belarus</t>
  </si>
  <si>
    <t>China PR</t>
  </si>
  <si>
    <t>Mozambique</t>
  </si>
  <si>
    <t>Malawi</t>
  </si>
  <si>
    <t>Guinea</t>
  </si>
  <si>
    <t>Angola</t>
  </si>
  <si>
    <t>Moldova</t>
  </si>
  <si>
    <t>Iceland</t>
  </si>
  <si>
    <t>Oman</t>
  </si>
  <si>
    <t>Haiti</t>
  </si>
  <si>
    <t>Gambia</t>
  </si>
  <si>
    <t>Uzbekistan</t>
  </si>
  <si>
    <t>Trinidad and Tobago</t>
  </si>
  <si>
    <t>Qatar</t>
  </si>
  <si>
    <t>Kuwait</t>
  </si>
  <si>
    <t>Syria</t>
  </si>
  <si>
    <t>Estonia</t>
  </si>
  <si>
    <t>Armenia</t>
  </si>
  <si>
    <t>United Arab Emirates</t>
  </si>
  <si>
    <t>Libya</t>
  </si>
  <si>
    <t>Congo</t>
  </si>
  <si>
    <t>Jordan</t>
  </si>
  <si>
    <t>Thailand</t>
  </si>
  <si>
    <t>Rwanda</t>
  </si>
  <si>
    <t>Tanzania</t>
  </si>
  <si>
    <t>Azerbaijan</t>
  </si>
  <si>
    <t>Zimbabwe</t>
  </si>
  <si>
    <t>Namibia</t>
  </si>
  <si>
    <t>Yemen</t>
  </si>
  <si>
    <t>Kenya</t>
  </si>
  <si>
    <t>Guatemala</t>
  </si>
  <si>
    <t>Cape Verde Islands</t>
  </si>
  <si>
    <t>Botswana</t>
  </si>
  <si>
    <t>Vietnam</t>
  </si>
  <si>
    <t>Sudan</t>
  </si>
  <si>
    <t>Antigua and Barbuda</t>
  </si>
  <si>
    <t>Georgia</t>
  </si>
  <si>
    <t>Congo DR</t>
  </si>
  <si>
    <t>Guyana</t>
  </si>
  <si>
    <t>Ethiopia</t>
  </si>
  <si>
    <t>Grenada</t>
  </si>
  <si>
    <t>Faroe Islands</t>
  </si>
  <si>
    <t>Cuba</t>
  </si>
  <si>
    <t>Singapore</t>
  </si>
  <si>
    <t>Luxembourg</t>
  </si>
  <si>
    <t>Kazakhstan</t>
  </si>
  <si>
    <t>Sierra Leone</t>
  </si>
  <si>
    <t>Swaziland</t>
  </si>
  <si>
    <t>Fiji</t>
  </si>
  <si>
    <t>India</t>
  </si>
  <si>
    <t>Bermuda</t>
  </si>
  <si>
    <t>Tajikistan</t>
  </si>
  <si>
    <t>Barbados</t>
  </si>
  <si>
    <t>Indonesia</t>
  </si>
  <si>
    <t>Suriname</t>
  </si>
  <si>
    <t>Turkmenistan</t>
  </si>
  <si>
    <t>Hong Kong</t>
  </si>
  <si>
    <t>Equatorial Guinea</t>
  </si>
  <si>
    <t>Maldives</t>
  </si>
  <si>
    <t>Chad</t>
  </si>
  <si>
    <t>Burundi</t>
  </si>
  <si>
    <t>New Caledonia</t>
  </si>
  <si>
    <t>Malaysia</t>
  </si>
  <si>
    <t>Myanmar</t>
  </si>
  <si>
    <t>Madagascar</t>
  </si>
  <si>
    <t>Liechtenstein</t>
  </si>
  <si>
    <t>Liberia</t>
  </si>
  <si>
    <t>St. Kitts and Nevis</t>
  </si>
  <si>
    <t>Lesotho</t>
  </si>
  <si>
    <t>Vanuatu</t>
  </si>
  <si>
    <t>Netherlands Antilles</t>
  </si>
  <si>
    <t>Eritrea</t>
  </si>
  <si>
    <t>Nicaragua</t>
  </si>
  <si>
    <t>Malta</t>
  </si>
  <si>
    <t>Bangladesh</t>
  </si>
  <si>
    <t>Sri Lanka</t>
  </si>
  <si>
    <t>Lebanon</t>
  </si>
  <si>
    <t>Nepal</t>
  </si>
  <si>
    <t>Niger</t>
  </si>
  <si>
    <t>St. Vincent and the Grenadines</t>
  </si>
  <si>
    <t>Mauritania</t>
  </si>
  <si>
    <t>Pakistan</t>
  </si>
  <si>
    <t>Puerto Rico</t>
  </si>
  <si>
    <t>Chinese Taipei</t>
  </si>
  <si>
    <t>Kyrgyzstan</t>
  </si>
  <si>
    <t>Philippines</t>
  </si>
  <si>
    <t>Solomon Islands</t>
  </si>
  <si>
    <t>Comoros</t>
  </si>
  <si>
    <t>Mauritius</t>
  </si>
  <si>
    <t>Palestine</t>
  </si>
  <si>
    <t>Somalia</t>
  </si>
  <si>
    <t>Cayman Islands</t>
  </si>
  <si>
    <t>Laos</t>
  </si>
  <si>
    <t>Samoa</t>
  </si>
  <si>
    <t>Seychelles</t>
  </si>
  <si>
    <t>Mongolia</t>
  </si>
  <si>
    <t>Belize</t>
  </si>
  <si>
    <t>Cook Islands</t>
  </si>
  <si>
    <t>Bahamas</t>
  </si>
  <si>
    <t>Dominica</t>
  </si>
  <si>
    <t>Turks and Caicos Islands</t>
  </si>
  <si>
    <t>Cambodia</t>
  </si>
  <si>
    <t>Tonga</t>
  </si>
  <si>
    <t>Dominican Republic</t>
  </si>
  <si>
    <t>Djibouti</t>
  </si>
  <si>
    <t>Afghanistan</t>
  </si>
  <si>
    <t>Brunei Darussalam</t>
  </si>
  <si>
    <t>St. Lucia</t>
  </si>
  <si>
    <t>Guinea-Bissau</t>
  </si>
  <si>
    <t>Tahiti</t>
  </si>
  <si>
    <t>British Virgin Islands</t>
  </si>
  <si>
    <t>Guam</t>
  </si>
  <si>
    <t>Bhutan</t>
  </si>
  <si>
    <t>Macau</t>
  </si>
  <si>
    <t>Aruba</t>
  </si>
  <si>
    <t>US Virgin Islands</t>
  </si>
  <si>
    <t>Timor-Leste</t>
  </si>
  <si>
    <t>Andorra</t>
  </si>
  <si>
    <t>San Marino</t>
  </si>
  <si>
    <t>Anguilla</t>
  </si>
  <si>
    <t>Montserrat</t>
  </si>
  <si>
    <t>American Samoa</t>
  </si>
  <si>
    <t>Central African Republic</t>
  </si>
  <si>
    <t>Papua New Guinea</t>
  </si>
  <si>
    <t>ranking</t>
  </si>
  <si>
    <t>team</t>
  </si>
  <si>
    <t>points</t>
  </si>
  <si>
    <t>Total Goals Scored in Group Stage =</t>
  </si>
</sst>
</file>

<file path=xl/styles.xml><?xml version="1.0" encoding="utf-8"?>
<styleSheet xmlns="http://schemas.openxmlformats.org/spreadsheetml/2006/main">
  <numFmts count="3">
    <numFmt numFmtId="164" formatCode="d\-mmm"/>
    <numFmt numFmtId="165" formatCode="General_)"/>
    <numFmt numFmtId="166" formatCode="0.0000"/>
  </numFmts>
  <fonts count="66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0"/>
      <name val="Courier"/>
      <family val="3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Verdana"/>
      <family val="2"/>
    </font>
    <font>
      <b/>
      <sz val="36"/>
      <color indexed="10"/>
      <name val="Verdana"/>
      <family val="2"/>
    </font>
    <font>
      <b/>
      <sz val="36"/>
      <color indexed="12"/>
      <name val="Verdana"/>
      <family val="2"/>
    </font>
    <font>
      <b/>
      <sz val="18"/>
      <color indexed="16"/>
      <name val="Verdana"/>
      <family val="2"/>
    </font>
    <font>
      <b/>
      <sz val="11"/>
      <color indexed="17"/>
      <name val="Verdana"/>
      <family val="2"/>
    </font>
    <font>
      <b/>
      <u/>
      <sz val="14"/>
      <color indexed="12"/>
      <name val="Verdana"/>
      <family val="2"/>
    </font>
    <font>
      <b/>
      <sz val="12"/>
      <color indexed="9"/>
      <name val="Verdana"/>
      <family val="2"/>
    </font>
    <font>
      <b/>
      <sz val="16"/>
      <color indexed="9"/>
      <name val="Verdana"/>
      <family val="2"/>
    </font>
    <font>
      <b/>
      <sz val="12"/>
      <color indexed="10"/>
      <name val="Verdana"/>
      <family val="2"/>
    </font>
    <font>
      <b/>
      <sz val="14"/>
      <color indexed="9"/>
      <name val="Verdana"/>
      <family val="2"/>
    </font>
    <font>
      <b/>
      <sz val="10"/>
      <color indexed="9"/>
      <name val="Verdana"/>
      <family val="2"/>
    </font>
    <font>
      <b/>
      <sz val="11"/>
      <color indexed="9"/>
      <name val="Verdana"/>
      <family val="2"/>
    </font>
    <font>
      <b/>
      <sz val="8"/>
      <color indexed="9"/>
      <name val="Verdana"/>
      <family val="2"/>
    </font>
    <font>
      <b/>
      <sz val="10"/>
      <color indexed="13"/>
      <name val="Verdana"/>
      <family val="2"/>
    </font>
    <font>
      <b/>
      <sz val="10"/>
      <name val="Verdana"/>
      <family val="2"/>
    </font>
    <font>
      <b/>
      <u/>
      <sz val="11"/>
      <color indexed="12"/>
      <name val="Verdana"/>
      <family val="2"/>
    </font>
    <font>
      <b/>
      <sz val="10"/>
      <color indexed="12"/>
      <name val="Verdana"/>
      <family val="2"/>
    </font>
    <font>
      <b/>
      <sz val="11"/>
      <name val="Verdana"/>
      <family val="2"/>
    </font>
    <font>
      <b/>
      <sz val="10"/>
      <color indexed="18"/>
      <name val="Verdana"/>
      <family val="2"/>
    </font>
    <font>
      <b/>
      <sz val="10"/>
      <color indexed="10"/>
      <name val="Verdana"/>
      <family val="2"/>
    </font>
    <font>
      <b/>
      <sz val="11"/>
      <color indexed="12"/>
      <name val="Verdana"/>
      <family val="2"/>
    </font>
    <font>
      <b/>
      <sz val="11"/>
      <color indexed="18"/>
      <name val="Verdana"/>
      <family val="2"/>
    </font>
    <font>
      <b/>
      <sz val="11"/>
      <color indexed="10"/>
      <name val="Verdana"/>
      <family val="2"/>
    </font>
    <font>
      <b/>
      <sz val="10"/>
      <color indexed="8"/>
      <name val="Verdana"/>
      <family val="2"/>
    </font>
    <font>
      <b/>
      <sz val="11"/>
      <color indexed="20"/>
      <name val="Verdana"/>
      <family val="2"/>
    </font>
    <font>
      <b/>
      <sz val="14"/>
      <name val="Verdana"/>
      <family val="2"/>
    </font>
    <font>
      <b/>
      <sz val="11"/>
      <color indexed="63"/>
      <name val="Verdana"/>
      <family val="2"/>
    </font>
    <font>
      <b/>
      <sz val="11"/>
      <color indexed="14"/>
      <name val="Verdana"/>
      <family val="2"/>
    </font>
    <font>
      <b/>
      <sz val="11"/>
      <color indexed="53"/>
      <name val="Verdana"/>
      <family val="2"/>
    </font>
    <font>
      <b/>
      <sz val="11"/>
      <color indexed="60"/>
      <name val="Verdana"/>
      <family val="2"/>
    </font>
    <font>
      <b/>
      <sz val="12"/>
      <name val="Verdana"/>
      <family val="2"/>
    </font>
    <font>
      <sz val="10"/>
      <color indexed="12"/>
      <name val="Verdana"/>
      <family val="2"/>
    </font>
    <font>
      <sz val="10"/>
      <color indexed="10"/>
      <name val="Verdana"/>
      <family val="2"/>
    </font>
    <font>
      <b/>
      <u/>
      <sz val="16"/>
      <color indexed="12"/>
      <name val="Arial"/>
      <family val="2"/>
    </font>
    <font>
      <b/>
      <sz val="14"/>
      <name val="Times New Roman"/>
      <family val="1"/>
    </font>
    <font>
      <sz val="10"/>
      <color indexed="9"/>
      <name val="Verdana"/>
      <family val="2"/>
    </font>
    <font>
      <b/>
      <sz val="14"/>
      <color indexed="9"/>
      <name val="Arial"/>
      <family val="2"/>
    </font>
    <font>
      <b/>
      <u/>
      <sz val="10"/>
      <color indexed="12"/>
      <name val="Arial"/>
      <family val="2"/>
    </font>
    <font>
      <sz val="10"/>
      <color indexed="17"/>
      <name val="Verdana"/>
      <family val="2"/>
    </font>
    <font>
      <sz val="11"/>
      <name val="Times New Roman"/>
      <family val="1"/>
    </font>
    <font>
      <b/>
      <sz val="12"/>
      <color indexed="18"/>
      <name val="Verdana"/>
      <family val="2"/>
    </font>
    <font>
      <sz val="12"/>
      <name val="Arial"/>
    </font>
  </fonts>
  <fills count="4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8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9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7" borderId="1" applyNumberFormat="0" applyAlignment="0" applyProtection="0"/>
    <xf numFmtId="0" fontId="15" fillId="0" borderId="6" applyNumberFormat="0" applyFill="0" applyAlignment="0" applyProtection="0"/>
    <xf numFmtId="0" fontId="16" fillId="22" borderId="0" applyNumberFormat="0" applyBorder="0" applyAlignment="0" applyProtection="0"/>
    <xf numFmtId="0" fontId="1" fillId="0" borderId="0"/>
    <xf numFmtId="0" fontId="17" fillId="0" borderId="0"/>
    <xf numFmtId="0" fontId="1" fillId="0" borderId="0"/>
    <xf numFmtId="0" fontId="18" fillId="0" borderId="0"/>
    <xf numFmtId="165" fontId="19" fillId="0" borderId="0"/>
    <xf numFmtId="0" fontId="17" fillId="23" borderId="7" applyNumberFormat="0" applyFont="0" applyAlignment="0" applyProtection="0"/>
    <xf numFmtId="0" fontId="20" fillId="20" borderId="8" applyNumberForma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</cellStyleXfs>
  <cellXfs count="267">
    <xf numFmtId="0" fontId="0" fillId="0" borderId="0" xfId="0"/>
    <xf numFmtId="0" fontId="24" fillId="24" borderId="10" xfId="0" applyFont="1" applyFill="1" applyBorder="1"/>
    <xf numFmtId="0" fontId="24" fillId="24" borderId="11" xfId="0" applyFont="1" applyFill="1" applyBorder="1"/>
    <xf numFmtId="0" fontId="24" fillId="24" borderId="12" xfId="0" applyFont="1" applyFill="1" applyBorder="1"/>
    <xf numFmtId="0" fontId="24" fillId="24" borderId="0" xfId="0" applyFont="1" applyFill="1"/>
    <xf numFmtId="0" fontId="24" fillId="0" borderId="0" xfId="0" applyFont="1"/>
    <xf numFmtId="0" fontId="24" fillId="24" borderId="13" xfId="0" applyFont="1" applyFill="1" applyBorder="1"/>
    <xf numFmtId="0" fontId="24" fillId="24" borderId="0" xfId="0" applyFont="1" applyFill="1" applyBorder="1"/>
    <xf numFmtId="0" fontId="24" fillId="24" borderId="14" xfId="0" applyFont="1" applyFill="1" applyBorder="1"/>
    <xf numFmtId="0" fontId="27" fillId="24" borderId="0" xfId="0" applyFont="1" applyFill="1" applyBorder="1" applyAlignment="1">
      <alignment horizontal="centerContinuous" vertical="center" wrapText="1"/>
    </xf>
    <xf numFmtId="0" fontId="24" fillId="24" borderId="0" xfId="0" applyFont="1" applyFill="1" applyBorder="1" applyAlignment="1">
      <alignment horizontal="center"/>
    </xf>
    <xf numFmtId="0" fontId="30" fillId="24" borderId="0" xfId="0" applyFont="1" applyFill="1" applyBorder="1" applyAlignment="1">
      <alignment horizontal="center"/>
    </xf>
    <xf numFmtId="0" fontId="24" fillId="24" borderId="16" xfId="0" applyFont="1" applyFill="1" applyBorder="1"/>
    <xf numFmtId="0" fontId="32" fillId="0" borderId="0" xfId="0" applyFont="1" applyFill="1" applyBorder="1" applyAlignment="1">
      <alignment horizontal="center" vertical="center"/>
    </xf>
    <xf numFmtId="0" fontId="24" fillId="0" borderId="0" xfId="0" applyFont="1" applyFill="1" applyBorder="1"/>
    <xf numFmtId="0" fontId="24" fillId="0" borderId="0" xfId="0" applyFont="1" applyBorder="1"/>
    <xf numFmtId="0" fontId="33" fillId="26" borderId="17" xfId="0" applyFont="1" applyFill="1" applyBorder="1" applyAlignment="1">
      <alignment horizontal="center" vertical="center"/>
    </xf>
    <xf numFmtId="0" fontId="33" fillId="26" borderId="18" xfId="0" applyFont="1" applyFill="1" applyBorder="1" applyAlignment="1">
      <alignment horizontal="center" vertical="center"/>
    </xf>
    <xf numFmtId="0" fontId="33" fillId="26" borderId="19" xfId="0" applyFont="1" applyFill="1" applyBorder="1" applyAlignment="1">
      <alignment horizontal="center"/>
    </xf>
    <xf numFmtId="0" fontId="24" fillId="27" borderId="17" xfId="0" applyFont="1" applyFill="1" applyBorder="1"/>
    <xf numFmtId="0" fontId="24" fillId="27" borderId="18" xfId="0" applyFont="1" applyFill="1" applyBorder="1"/>
    <xf numFmtId="0" fontId="33" fillId="27" borderId="18" xfId="0" applyFont="1" applyFill="1" applyBorder="1" applyAlignment="1">
      <alignment horizontal="center"/>
    </xf>
    <xf numFmtId="0" fontId="30" fillId="27" borderId="18" xfId="0" applyFont="1" applyFill="1" applyBorder="1" applyAlignment="1">
      <alignment horizontal="center"/>
    </xf>
    <xf numFmtId="0" fontId="33" fillId="27" borderId="19" xfId="0" applyFont="1" applyFill="1" applyBorder="1" applyAlignment="1">
      <alignment horizontal="center"/>
    </xf>
    <xf numFmtId="0" fontId="34" fillId="26" borderId="17" xfId="0" applyFont="1" applyFill="1" applyBorder="1" applyAlignment="1">
      <alignment horizontal="center" vertical="center"/>
    </xf>
    <xf numFmtId="0" fontId="35" fillId="26" borderId="18" xfId="0" applyFont="1" applyFill="1" applyBorder="1" applyAlignment="1">
      <alignment horizontal="right" vertical="center"/>
    </xf>
    <xf numFmtId="0" fontId="30" fillId="26" borderId="18" xfId="0" applyFont="1" applyFill="1" applyBorder="1" applyAlignment="1">
      <alignment horizontal="center" vertical="center"/>
    </xf>
    <xf numFmtId="0" fontId="36" fillId="26" borderId="18" xfId="0" applyFont="1" applyFill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0" fontId="38" fillId="0" borderId="16" xfId="0" applyFont="1" applyBorder="1"/>
    <xf numFmtId="0" fontId="24" fillId="0" borderId="16" xfId="0" applyFont="1" applyBorder="1" applyAlignment="1">
      <alignment horizontal="center"/>
    </xf>
    <xf numFmtId="0" fontId="38" fillId="28" borderId="16" xfId="0" applyFont="1" applyFill="1" applyBorder="1" applyAlignment="1">
      <alignment horizontal="center"/>
    </xf>
    <xf numFmtId="0" fontId="38" fillId="29" borderId="16" xfId="0" applyFont="1" applyFill="1" applyBorder="1" applyAlignment="1">
      <alignment horizontal="center"/>
    </xf>
    <xf numFmtId="0" fontId="38" fillId="30" borderId="16" xfId="0" applyFont="1" applyFill="1" applyBorder="1" applyAlignment="1">
      <alignment horizontal="center"/>
    </xf>
    <xf numFmtId="0" fontId="0" fillId="31" borderId="20" xfId="0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/>
    </xf>
    <xf numFmtId="0" fontId="24" fillId="29" borderId="21" xfId="0" applyFont="1" applyFill="1" applyBorder="1"/>
    <xf numFmtId="0" fontId="38" fillId="29" borderId="22" xfId="0" applyFont="1" applyFill="1" applyBorder="1" applyAlignment="1">
      <alignment horizontal="center"/>
    </xf>
    <xf numFmtId="0" fontId="38" fillId="29" borderId="23" xfId="0" applyFont="1" applyFill="1" applyBorder="1" applyAlignment="1">
      <alignment horizontal="center"/>
    </xf>
    <xf numFmtId="0" fontId="38" fillId="29" borderId="24" xfId="0" applyFont="1" applyFill="1" applyBorder="1" applyAlignment="1">
      <alignment horizontal="center"/>
    </xf>
    <xf numFmtId="0" fontId="34" fillId="26" borderId="17" xfId="0" applyFont="1" applyFill="1" applyBorder="1" applyAlignment="1">
      <alignment horizontal="center"/>
    </xf>
    <xf numFmtId="0" fontId="30" fillId="26" borderId="18" xfId="0" applyFont="1" applyFill="1" applyBorder="1" applyAlignment="1">
      <alignment horizontal="center"/>
    </xf>
    <xf numFmtId="0" fontId="30" fillId="26" borderId="18" xfId="0" applyFont="1" applyFill="1" applyBorder="1" applyAlignment="1">
      <alignment horizontal="left"/>
    </xf>
    <xf numFmtId="0" fontId="34" fillId="26" borderId="18" xfId="0" applyFont="1" applyFill="1" applyBorder="1" applyAlignment="1">
      <alignment horizontal="center"/>
    </xf>
    <xf numFmtId="0" fontId="30" fillId="26" borderId="19" xfId="0" applyFont="1" applyFill="1" applyBorder="1" applyAlignment="1">
      <alignment horizontal="center"/>
    </xf>
    <xf numFmtId="0" fontId="24" fillId="28" borderId="0" xfId="0" applyFont="1" applyFill="1" applyAlignment="1">
      <alignment horizontal="center"/>
    </xf>
    <xf numFmtId="0" fontId="24" fillId="28" borderId="0" xfId="0" applyFont="1" applyFill="1" applyAlignment="1">
      <alignment horizontal="left"/>
    </xf>
    <xf numFmtId="0" fontId="39" fillId="29" borderId="10" xfId="0" applyFont="1" applyFill="1" applyBorder="1" applyAlignment="1"/>
    <xf numFmtId="0" fontId="40" fillId="29" borderId="11" xfId="0" applyFont="1" applyFill="1" applyBorder="1" applyAlignment="1"/>
    <xf numFmtId="0" fontId="38" fillId="29" borderId="11" xfId="0" applyFont="1" applyFill="1" applyBorder="1" applyAlignment="1">
      <alignment horizontal="center"/>
    </xf>
    <xf numFmtId="0" fontId="38" fillId="29" borderId="12" xfId="0" applyFont="1" applyFill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0" fontId="24" fillId="30" borderId="16" xfId="0" applyFont="1" applyFill="1" applyBorder="1"/>
    <xf numFmtId="0" fontId="24" fillId="32" borderId="16" xfId="0" applyFont="1" applyFill="1" applyBorder="1"/>
    <xf numFmtId="0" fontId="40" fillId="30" borderId="16" xfId="0" applyFont="1" applyFill="1" applyBorder="1" applyAlignment="1">
      <alignment horizontal="center"/>
    </xf>
    <xf numFmtId="0" fontId="38" fillId="28" borderId="25" xfId="0" applyFont="1" applyFill="1" applyBorder="1" applyAlignment="1">
      <alignment horizontal="center"/>
    </xf>
    <xf numFmtId="0" fontId="38" fillId="0" borderId="16" xfId="0" applyFont="1" applyFill="1" applyBorder="1" applyAlignment="1">
      <alignment horizontal="center"/>
    </xf>
    <xf numFmtId="0" fontId="38" fillId="0" borderId="26" xfId="0" applyFont="1" applyBorder="1" applyAlignment="1">
      <alignment horizontal="center"/>
    </xf>
    <xf numFmtId="0" fontId="38" fillId="0" borderId="16" xfId="0" applyFont="1" applyBorder="1" applyAlignment="1">
      <alignment horizontal="center"/>
    </xf>
    <xf numFmtId="166" fontId="24" fillId="31" borderId="0" xfId="0" applyNumberFormat="1" applyFont="1" applyFill="1" applyBorder="1" applyAlignment="1">
      <alignment horizontal="center"/>
    </xf>
    <xf numFmtId="165" fontId="19" fillId="31" borderId="0" xfId="43" applyFill="1" applyBorder="1" applyAlignment="1">
      <alignment horizontal="center"/>
    </xf>
    <xf numFmtId="0" fontId="24" fillId="31" borderId="0" xfId="0" applyFont="1" applyFill="1" applyBorder="1" applyAlignment="1">
      <alignment horizontal="center"/>
    </xf>
    <xf numFmtId="0" fontId="38" fillId="29" borderId="27" xfId="42" applyFont="1" applyFill="1" applyBorder="1"/>
    <xf numFmtId="0" fontId="38" fillId="29" borderId="28" xfId="42" applyFont="1" applyFill="1" applyBorder="1" applyAlignment="1">
      <alignment horizontal="center"/>
    </xf>
    <xf numFmtId="0" fontId="24" fillId="29" borderId="0" xfId="42" applyFont="1" applyFill="1" applyBorder="1" applyAlignment="1">
      <alignment horizontal="center"/>
    </xf>
    <xf numFmtId="0" fontId="38" fillId="29" borderId="29" xfId="42" applyFont="1" applyFill="1" applyBorder="1" applyAlignment="1">
      <alignment horizontal="center"/>
    </xf>
    <xf numFmtId="0" fontId="24" fillId="29" borderId="10" xfId="0" applyFont="1" applyFill="1" applyBorder="1"/>
    <xf numFmtId="0" fontId="24" fillId="29" borderId="11" xfId="0" applyFont="1" applyFill="1" applyBorder="1"/>
    <xf numFmtId="0" fontId="24" fillId="29" borderId="12" xfId="0" applyFont="1" applyFill="1" applyBorder="1"/>
    <xf numFmtId="0" fontId="24" fillId="33" borderId="0" xfId="0" applyFont="1" applyFill="1" applyAlignment="1">
      <alignment horizontal="center"/>
    </xf>
    <xf numFmtId="0" fontId="24" fillId="33" borderId="0" xfId="0" applyFont="1" applyFill="1" applyAlignment="1">
      <alignment horizontal="left"/>
    </xf>
    <xf numFmtId="0" fontId="38" fillId="29" borderId="13" xfId="0" applyNumberFormat="1" applyFont="1" applyFill="1" applyBorder="1" applyAlignment="1">
      <alignment horizontal="center"/>
    </xf>
    <xf numFmtId="164" fontId="24" fillId="29" borderId="0" xfId="0" applyNumberFormat="1" applyFont="1" applyFill="1" applyBorder="1" applyAlignment="1">
      <alignment horizontal="right"/>
    </xf>
    <xf numFmtId="20" fontId="24" fillId="29" borderId="0" xfId="0" applyNumberFormat="1" applyFont="1" applyFill="1" applyBorder="1" applyAlignment="1">
      <alignment horizontal="center"/>
    </xf>
    <xf numFmtId="20" fontId="24" fillId="29" borderId="0" xfId="0" applyNumberFormat="1" applyFont="1" applyFill="1" applyBorder="1"/>
    <xf numFmtId="0" fontId="38" fillId="29" borderId="0" xfId="0" applyFont="1" applyFill="1" applyBorder="1" applyAlignment="1">
      <alignment horizontal="right"/>
    </xf>
    <xf numFmtId="0" fontId="41" fillId="28" borderId="24" xfId="0" applyFont="1" applyFill="1" applyBorder="1" applyAlignment="1">
      <alignment horizontal="center" vertical="center"/>
    </xf>
    <xf numFmtId="0" fontId="38" fillId="29" borderId="0" xfId="0" applyFont="1" applyFill="1" applyBorder="1" applyAlignment="1">
      <alignment horizontal="left"/>
    </xf>
    <xf numFmtId="0" fontId="42" fillId="29" borderId="21" xfId="0" applyFont="1" applyFill="1" applyBorder="1" applyAlignment="1">
      <alignment horizontal="center"/>
    </xf>
    <xf numFmtId="0" fontId="42" fillId="29" borderId="24" xfId="0" applyFont="1" applyFill="1" applyBorder="1" applyAlignment="1">
      <alignment horizontal="center"/>
    </xf>
    <xf numFmtId="0" fontId="24" fillId="29" borderId="0" xfId="0" applyFont="1" applyFill="1" applyBorder="1" applyAlignment="1">
      <alignment horizontal="center"/>
    </xf>
    <xf numFmtId="0" fontId="34" fillId="26" borderId="30" xfId="0" applyFont="1" applyFill="1" applyBorder="1" applyAlignment="1">
      <alignment horizontal="center"/>
    </xf>
    <xf numFmtId="0" fontId="38" fillId="29" borderId="14" xfId="0" applyFont="1" applyFill="1" applyBorder="1" applyAlignment="1">
      <alignment horizontal="center"/>
    </xf>
    <xf numFmtId="0" fontId="24" fillId="30" borderId="16" xfId="0" applyFont="1" applyFill="1" applyBorder="1" applyAlignment="1">
      <alignment horizontal="left"/>
    </xf>
    <xf numFmtId="0" fontId="43" fillId="0" borderId="16" xfId="0" applyFont="1" applyBorder="1" applyAlignment="1">
      <alignment horizontal="center"/>
    </xf>
    <xf numFmtId="0" fontId="24" fillId="0" borderId="0" xfId="0" applyFont="1" applyBorder="1" applyAlignment="1">
      <alignment horizontal="center"/>
    </xf>
    <xf numFmtId="0" fontId="38" fillId="29" borderId="13" xfId="0" applyFont="1" applyFill="1" applyBorder="1" applyAlignment="1">
      <alignment horizontal="center"/>
    </xf>
    <xf numFmtId="0" fontId="44" fillId="29" borderId="0" xfId="0" applyNumberFormat="1" applyFont="1" applyFill="1" applyBorder="1" applyAlignment="1">
      <alignment horizontal="center"/>
    </xf>
    <xf numFmtId="0" fontId="45" fillId="29" borderId="0" xfId="0" applyFont="1" applyFill="1" applyBorder="1" applyAlignment="1">
      <alignment horizontal="center"/>
    </xf>
    <xf numFmtId="0" fontId="41" fillId="28" borderId="17" xfId="0" applyFont="1" applyFill="1" applyBorder="1" applyAlignment="1">
      <alignment horizontal="center" vertical="center"/>
    </xf>
    <xf numFmtId="0" fontId="41" fillId="28" borderId="31" xfId="0" quotePrefix="1" applyFont="1" applyFill="1" applyBorder="1" applyAlignment="1">
      <alignment horizontal="center" vertical="center"/>
    </xf>
    <xf numFmtId="0" fontId="24" fillId="29" borderId="14" xfId="0" applyFont="1" applyFill="1" applyBorder="1"/>
    <xf numFmtId="0" fontId="41" fillId="28" borderId="32" xfId="0" applyFont="1" applyFill="1" applyBorder="1" applyAlignment="1">
      <alignment horizontal="center" vertical="center"/>
    </xf>
    <xf numFmtId="0" fontId="41" fillId="28" borderId="33" xfId="0" applyFont="1" applyFill="1" applyBorder="1" applyAlignment="1">
      <alignment horizontal="center" vertical="center"/>
    </xf>
    <xf numFmtId="0" fontId="42" fillId="29" borderId="32" xfId="0" applyFont="1" applyFill="1" applyBorder="1" applyAlignment="1">
      <alignment horizontal="center"/>
    </xf>
    <xf numFmtId="0" fontId="42" fillId="29" borderId="33" xfId="0" applyFont="1" applyFill="1" applyBorder="1" applyAlignment="1">
      <alignment horizontal="center"/>
    </xf>
    <xf numFmtId="0" fontId="34" fillId="26" borderId="34" xfId="0" applyFont="1" applyFill="1" applyBorder="1" applyAlignment="1">
      <alignment horizontal="center"/>
    </xf>
    <xf numFmtId="0" fontId="46" fillId="29" borderId="0" xfId="0" applyNumberFormat="1" applyFont="1" applyFill="1" applyBorder="1" applyAlignment="1">
      <alignment horizontal="center"/>
    </xf>
    <xf numFmtId="0" fontId="47" fillId="34" borderId="34" xfId="0" applyFont="1" applyFill="1" applyBorder="1" applyAlignment="1">
      <alignment horizontal="center"/>
    </xf>
    <xf numFmtId="0" fontId="38" fillId="29" borderId="35" xfId="42" applyFont="1" applyFill="1" applyBorder="1"/>
    <xf numFmtId="0" fontId="38" fillId="29" borderId="36" xfId="42" applyFont="1" applyFill="1" applyBorder="1" applyAlignment="1">
      <alignment horizontal="center"/>
    </xf>
    <xf numFmtId="0" fontId="24" fillId="29" borderId="15" xfId="42" applyFont="1" applyFill="1" applyBorder="1" applyAlignment="1">
      <alignment horizontal="center"/>
    </xf>
    <xf numFmtId="0" fontId="38" fillId="29" borderId="37" xfId="42" applyFont="1" applyFill="1" applyBorder="1" applyAlignment="1">
      <alignment horizontal="center"/>
    </xf>
    <xf numFmtId="0" fontId="28" fillId="29" borderId="0" xfId="0" applyNumberFormat="1" applyFont="1" applyFill="1" applyBorder="1" applyAlignment="1">
      <alignment horizontal="center"/>
    </xf>
    <xf numFmtId="0" fontId="24" fillId="34" borderId="0" xfId="0" applyFont="1" applyFill="1" applyAlignment="1">
      <alignment horizontal="center"/>
    </xf>
    <xf numFmtId="0" fontId="24" fillId="34" borderId="0" xfId="0" applyFont="1" applyFill="1" applyAlignment="1">
      <alignment horizontal="left"/>
    </xf>
    <xf numFmtId="0" fontId="48" fillId="29" borderId="0" xfId="0" applyNumberFormat="1" applyFont="1" applyFill="1" applyBorder="1" applyAlignment="1">
      <alignment horizontal="center"/>
    </xf>
    <xf numFmtId="0" fontId="24" fillId="35" borderId="0" xfId="0" applyFont="1" applyFill="1" applyAlignment="1">
      <alignment horizontal="center"/>
    </xf>
    <xf numFmtId="0" fontId="24" fillId="35" borderId="0" xfId="0" applyFont="1" applyFill="1" applyAlignment="1">
      <alignment horizontal="left"/>
    </xf>
    <xf numFmtId="0" fontId="34" fillId="36" borderId="34" xfId="0" applyFont="1" applyFill="1" applyBorder="1" applyAlignment="1">
      <alignment horizontal="center"/>
    </xf>
    <xf numFmtId="0" fontId="50" fillId="29" borderId="0" xfId="0" applyNumberFormat="1" applyFont="1" applyFill="1" applyBorder="1" applyAlignment="1">
      <alignment horizontal="center"/>
    </xf>
    <xf numFmtId="0" fontId="51" fillId="29" borderId="0" xfId="0" applyNumberFormat="1" applyFont="1" applyFill="1" applyBorder="1" applyAlignment="1">
      <alignment horizontal="center"/>
    </xf>
    <xf numFmtId="0" fontId="34" fillId="27" borderId="34" xfId="0" applyFont="1" applyFill="1" applyBorder="1" applyAlignment="1">
      <alignment horizontal="center"/>
    </xf>
    <xf numFmtId="0" fontId="52" fillId="29" borderId="0" xfId="0" applyNumberFormat="1" applyFont="1" applyFill="1" applyBorder="1" applyAlignment="1">
      <alignment horizontal="center"/>
    </xf>
    <xf numFmtId="0" fontId="24" fillId="37" borderId="0" xfId="0" applyFont="1" applyFill="1" applyAlignment="1">
      <alignment horizontal="center"/>
    </xf>
    <xf numFmtId="0" fontId="24" fillId="37" borderId="0" xfId="0" applyFont="1" applyFill="1" applyAlignment="1">
      <alignment horizontal="left"/>
    </xf>
    <xf numFmtId="0" fontId="53" fillId="29" borderId="0" xfId="0" applyNumberFormat="1" applyFont="1" applyFill="1" applyBorder="1" applyAlignment="1">
      <alignment horizontal="center"/>
    </xf>
    <xf numFmtId="0" fontId="24" fillId="38" borderId="0" xfId="0" applyFont="1" applyFill="1" applyAlignment="1">
      <alignment horizontal="center"/>
    </xf>
    <xf numFmtId="0" fontId="24" fillId="38" borderId="0" xfId="0" applyFont="1" applyFill="1" applyAlignment="1">
      <alignment horizontal="left"/>
    </xf>
    <xf numFmtId="0" fontId="38" fillId="33" borderId="34" xfId="0" applyFont="1" applyFill="1" applyBorder="1" applyAlignment="1">
      <alignment horizontal="center"/>
    </xf>
    <xf numFmtId="0" fontId="24" fillId="29" borderId="38" xfId="0" applyFont="1" applyFill="1" applyBorder="1"/>
    <xf numFmtId="0" fontId="24" fillId="29" borderId="15" xfId="0" applyFont="1" applyFill="1" applyBorder="1"/>
    <xf numFmtId="0" fontId="24" fillId="29" borderId="39" xfId="0" applyFont="1" applyFill="1" applyBorder="1"/>
    <xf numFmtId="0" fontId="34" fillId="35" borderId="34" xfId="0" applyFont="1" applyFill="1" applyBorder="1" applyAlignment="1">
      <alignment horizontal="center"/>
    </xf>
    <xf numFmtId="0" fontId="24" fillId="39" borderId="0" xfId="0" applyFont="1" applyFill="1" applyAlignment="1">
      <alignment horizontal="center"/>
    </xf>
    <xf numFmtId="0" fontId="24" fillId="39" borderId="0" xfId="0" applyFont="1" applyFill="1" applyAlignment="1">
      <alignment horizontal="left"/>
    </xf>
    <xf numFmtId="0" fontId="38" fillId="24" borderId="0" xfId="0" applyFont="1" applyFill="1" applyBorder="1" applyAlignment="1">
      <alignment horizontal="center"/>
    </xf>
    <xf numFmtId="0" fontId="24" fillId="40" borderId="0" xfId="0" applyFont="1" applyFill="1" applyAlignment="1">
      <alignment horizontal="center"/>
    </xf>
    <xf numFmtId="0" fontId="24" fillId="40" borderId="0" xfId="0" applyFont="1" applyFill="1" applyAlignment="1">
      <alignment horizontal="left"/>
    </xf>
    <xf numFmtId="0" fontId="34" fillId="41" borderId="34" xfId="0" applyFont="1" applyFill="1" applyBorder="1" applyAlignment="1">
      <alignment horizontal="center"/>
    </xf>
    <xf numFmtId="0" fontId="24" fillId="29" borderId="10" xfId="0" applyFont="1" applyFill="1" applyBorder="1" applyAlignment="1">
      <alignment horizontal="center"/>
    </xf>
    <xf numFmtId="0" fontId="34" fillId="42" borderId="34" xfId="0" applyFont="1" applyFill="1" applyBorder="1" applyAlignment="1">
      <alignment horizontal="center"/>
    </xf>
    <xf numFmtId="20" fontId="28" fillId="29" borderId="0" xfId="0" applyNumberFormat="1" applyFont="1" applyFill="1" applyBorder="1" applyAlignment="1">
      <alignment horizontal="center"/>
    </xf>
    <xf numFmtId="0" fontId="41" fillId="28" borderId="40" xfId="0" applyFont="1" applyFill="1" applyBorder="1" applyAlignment="1">
      <alignment horizontal="center" vertical="center"/>
    </xf>
    <xf numFmtId="0" fontId="41" fillId="28" borderId="41" xfId="0" applyFont="1" applyFill="1" applyBorder="1" applyAlignment="1">
      <alignment horizontal="center" vertical="center"/>
    </xf>
    <xf numFmtId="0" fontId="34" fillId="42" borderId="42" xfId="0" applyFont="1" applyFill="1" applyBorder="1" applyAlignment="1">
      <alignment horizontal="center"/>
    </xf>
    <xf numFmtId="20" fontId="46" fillId="29" borderId="0" xfId="0" applyNumberFormat="1" applyFont="1" applyFill="1" applyBorder="1" applyAlignment="1">
      <alignment horizontal="center"/>
    </xf>
    <xf numFmtId="0" fontId="24" fillId="0" borderId="0" xfId="0" applyFont="1" applyFill="1"/>
    <xf numFmtId="0" fontId="39" fillId="29" borderId="13" xfId="0" applyFont="1" applyFill="1" applyBorder="1" applyAlignment="1">
      <alignment horizontal="left"/>
    </xf>
    <xf numFmtId="0" fontId="40" fillId="29" borderId="0" xfId="0" applyFont="1" applyFill="1" applyBorder="1" applyAlignment="1">
      <alignment horizontal="center"/>
    </xf>
    <xf numFmtId="0" fontId="40" fillId="29" borderId="0" xfId="0" applyFont="1" applyFill="1" applyBorder="1" applyAlignment="1">
      <alignment horizontal="center" vertical="center"/>
    </xf>
    <xf numFmtId="0" fontId="24" fillId="29" borderId="0" xfId="0" applyFont="1" applyFill="1" applyBorder="1" applyAlignment="1">
      <alignment vertical="center"/>
    </xf>
    <xf numFmtId="0" fontId="24" fillId="29" borderId="0" xfId="0" applyFont="1" applyFill="1" applyBorder="1"/>
    <xf numFmtId="20" fontId="44" fillId="29" borderId="0" xfId="0" applyNumberFormat="1" applyFont="1" applyFill="1" applyBorder="1" applyAlignment="1">
      <alignment horizontal="center"/>
    </xf>
    <xf numFmtId="0" fontId="41" fillId="28" borderId="21" xfId="0" applyFont="1" applyFill="1" applyBorder="1" applyAlignment="1">
      <alignment horizontal="center" vertical="center"/>
    </xf>
    <xf numFmtId="20" fontId="48" fillId="29" borderId="0" xfId="0" applyNumberFormat="1" applyFont="1" applyFill="1" applyBorder="1" applyAlignment="1">
      <alignment horizontal="center"/>
    </xf>
    <xf numFmtId="0" fontId="38" fillId="43" borderId="16" xfId="0" applyFont="1" applyFill="1" applyBorder="1" applyAlignment="1">
      <alignment horizontal="center"/>
    </xf>
    <xf numFmtId="17" fontId="24" fillId="29" borderId="15" xfId="0" applyNumberFormat="1" applyFont="1" applyFill="1" applyBorder="1"/>
    <xf numFmtId="20" fontId="24" fillId="29" borderId="15" xfId="0" applyNumberFormat="1" applyFont="1" applyFill="1" applyBorder="1"/>
    <xf numFmtId="0" fontId="33" fillId="27" borderId="19" xfId="0" applyFont="1" applyFill="1" applyBorder="1" applyAlignment="1">
      <alignment horizontal="centerContinuous"/>
    </xf>
    <xf numFmtId="0" fontId="34" fillId="26" borderId="38" xfId="0" applyFont="1" applyFill="1" applyBorder="1" applyAlignment="1">
      <alignment horizontal="center"/>
    </xf>
    <xf numFmtId="0" fontId="30" fillId="26" borderId="15" xfId="0" applyFont="1" applyFill="1" applyBorder="1" applyAlignment="1">
      <alignment horizontal="center"/>
    </xf>
    <xf numFmtId="0" fontId="30" fillId="26" borderId="15" xfId="0" applyFont="1" applyFill="1" applyBorder="1" applyAlignment="1">
      <alignment horizontal="left"/>
    </xf>
    <xf numFmtId="0" fontId="34" fillId="26" borderId="15" xfId="0" applyFont="1" applyFill="1" applyBorder="1" applyAlignment="1">
      <alignment horizontal="center"/>
    </xf>
    <xf numFmtId="0" fontId="30" fillId="26" borderId="39" xfId="0" applyFont="1" applyFill="1" applyBorder="1" applyAlignment="1">
      <alignment horizontal="center"/>
    </xf>
    <xf numFmtId="0" fontId="40" fillId="0" borderId="0" xfId="0" applyFont="1" applyFill="1" applyBorder="1" applyAlignment="1">
      <alignment horizontal="center"/>
    </xf>
    <xf numFmtId="0" fontId="43" fillId="0" borderId="0" xfId="0" applyFont="1" applyFill="1" applyBorder="1" applyAlignment="1">
      <alignment horizontal="center"/>
    </xf>
    <xf numFmtId="166" fontId="24" fillId="0" borderId="0" xfId="0" applyNumberFormat="1" applyFont="1" applyFill="1" applyBorder="1" applyAlignment="1">
      <alignment horizontal="center"/>
    </xf>
    <xf numFmtId="165" fontId="19" fillId="0" borderId="0" xfId="43" applyFill="1" applyBorder="1" applyAlignment="1">
      <alignment horizontal="center"/>
    </xf>
    <xf numFmtId="0" fontId="38" fillId="24" borderId="0" xfId="42" applyFont="1" applyFill="1" applyBorder="1"/>
    <xf numFmtId="0" fontId="38" fillId="24" borderId="0" xfId="42" applyFont="1" applyFill="1" applyBorder="1" applyAlignment="1">
      <alignment horizontal="center"/>
    </xf>
    <xf numFmtId="0" fontId="24" fillId="24" borderId="0" xfId="42" applyFont="1" applyFill="1" applyBorder="1" applyAlignment="1">
      <alignment horizontal="center"/>
    </xf>
    <xf numFmtId="0" fontId="24" fillId="26" borderId="0" xfId="0" applyFont="1" applyFill="1" applyAlignment="1">
      <alignment horizontal="center"/>
    </xf>
    <xf numFmtId="0" fontId="38" fillId="30" borderId="16" xfId="0" applyFont="1" applyFill="1" applyBorder="1"/>
    <xf numFmtId="0" fontId="34" fillId="26" borderId="13" xfId="0" applyFont="1" applyFill="1" applyBorder="1" applyAlignment="1">
      <alignment horizontal="center"/>
    </xf>
    <xf numFmtId="0" fontId="30" fillId="26" borderId="0" xfId="0" applyFont="1" applyFill="1" applyBorder="1" applyAlignment="1">
      <alignment horizontal="center"/>
    </xf>
    <xf numFmtId="0" fontId="30" fillId="26" borderId="0" xfId="0" applyFont="1" applyFill="1" applyBorder="1" applyAlignment="1">
      <alignment horizontal="left"/>
    </xf>
    <xf numFmtId="0" fontId="34" fillId="26" borderId="0" xfId="0" applyFont="1" applyFill="1" applyBorder="1" applyAlignment="1">
      <alignment horizontal="center"/>
    </xf>
    <xf numFmtId="0" fontId="30" fillId="26" borderId="14" xfId="0" applyFont="1" applyFill="1" applyBorder="1" applyAlignment="1">
      <alignment horizontal="center"/>
    </xf>
    <xf numFmtId="0" fontId="24" fillId="28" borderId="0" xfId="0" applyFont="1" applyFill="1"/>
    <xf numFmtId="0" fontId="24" fillId="30" borderId="0" xfId="0" applyFont="1" applyFill="1"/>
    <xf numFmtId="0" fontId="41" fillId="29" borderId="0" xfId="0" applyFont="1" applyFill="1" applyBorder="1" applyAlignment="1">
      <alignment horizontal="center"/>
    </xf>
    <xf numFmtId="0" fontId="24" fillId="34" borderId="0" xfId="0" applyFont="1" applyFill="1"/>
    <xf numFmtId="0" fontId="38" fillId="29" borderId="13" xfId="0" applyFont="1" applyFill="1" applyBorder="1"/>
    <xf numFmtId="0" fontId="24" fillId="29" borderId="0" xfId="0" applyFont="1" applyFill="1"/>
    <xf numFmtId="0" fontId="24" fillId="29" borderId="13" xfId="0" applyFont="1" applyFill="1" applyBorder="1"/>
    <xf numFmtId="0" fontId="24" fillId="0" borderId="14" xfId="0" applyFont="1" applyFill="1" applyBorder="1"/>
    <xf numFmtId="0" fontId="38" fillId="29" borderId="27" xfId="42" applyFont="1" applyFill="1" applyBorder="1" applyAlignment="1">
      <alignment horizontal="left"/>
    </xf>
    <xf numFmtId="0" fontId="38" fillId="29" borderId="35" xfId="42" applyFont="1" applyFill="1" applyBorder="1" applyAlignment="1">
      <alignment horizontal="left"/>
    </xf>
    <xf numFmtId="0" fontId="24" fillId="0" borderId="0" xfId="0" applyFont="1" applyFill="1" applyAlignment="1">
      <alignment horizontal="left"/>
    </xf>
    <xf numFmtId="0" fontId="24" fillId="30" borderId="16" xfId="0" applyFont="1" applyFill="1" applyBorder="1" applyAlignment="1"/>
    <xf numFmtId="0" fontId="42" fillId="29" borderId="43" xfId="0" applyFont="1" applyFill="1" applyBorder="1" applyAlignment="1">
      <alignment horizontal="center"/>
    </xf>
    <xf numFmtId="0" fontId="42" fillId="29" borderId="44" xfId="0" applyFont="1" applyFill="1" applyBorder="1" applyAlignment="1">
      <alignment horizontal="center"/>
    </xf>
    <xf numFmtId="0" fontId="55" fillId="0" borderId="0" xfId="0" applyFont="1" applyFill="1" applyBorder="1"/>
    <xf numFmtId="0" fontId="56" fillId="0" borderId="0" xfId="0" applyFont="1" applyFill="1" applyBorder="1"/>
    <xf numFmtId="0" fontId="58" fillId="24" borderId="0" xfId="0" applyFont="1" applyFill="1" applyBorder="1" applyAlignment="1">
      <alignment horizontal="right"/>
    </xf>
    <xf numFmtId="0" fontId="59" fillId="26" borderId="18" xfId="0" applyFont="1" applyFill="1" applyBorder="1"/>
    <xf numFmtId="0" fontId="59" fillId="26" borderId="19" xfId="0" applyFont="1" applyFill="1" applyBorder="1"/>
    <xf numFmtId="0" fontId="24" fillId="24" borderId="0" xfId="0" applyFont="1" applyFill="1" applyBorder="1" applyAlignment="1"/>
    <xf numFmtId="0" fontId="43" fillId="24" borderId="0" xfId="0" applyFont="1" applyFill="1" applyBorder="1" applyAlignment="1">
      <alignment horizontal="center"/>
    </xf>
    <xf numFmtId="0" fontId="40" fillId="24" borderId="0" xfId="0" applyFont="1" applyFill="1" applyBorder="1" applyAlignment="1">
      <alignment horizontal="center"/>
    </xf>
    <xf numFmtId="166" fontId="24" fillId="24" borderId="0" xfId="0" applyNumberFormat="1" applyFont="1" applyFill="1" applyBorder="1" applyAlignment="1">
      <alignment horizontal="center"/>
    </xf>
    <xf numFmtId="165" fontId="19" fillId="24" borderId="0" xfId="43" applyFill="1" applyBorder="1" applyAlignment="1">
      <alignment horizontal="center"/>
    </xf>
    <xf numFmtId="0" fontId="38" fillId="24" borderId="0" xfId="42" applyFont="1" applyFill="1" applyBorder="1" applyAlignment="1">
      <alignment horizontal="left"/>
    </xf>
    <xf numFmtId="0" fontId="60" fillId="24" borderId="0" xfId="0" applyFont="1" applyFill="1" applyBorder="1" applyAlignment="1">
      <alignment horizontal="center" vertical="center"/>
    </xf>
    <xf numFmtId="0" fontId="61" fillId="24" borderId="0" xfId="34" applyFont="1" applyFill="1" applyBorder="1" applyAlignment="1" applyProtection="1">
      <alignment horizontal="center" vertical="center" wrapText="1"/>
    </xf>
    <xf numFmtId="0" fontId="62" fillId="24" borderId="0" xfId="0" applyFont="1" applyFill="1" applyBorder="1"/>
    <xf numFmtId="0" fontId="24" fillId="24" borderId="38" xfId="0" applyFont="1" applyFill="1" applyBorder="1"/>
    <xf numFmtId="0" fontId="24" fillId="24" borderId="15" xfId="0" applyFont="1" applyFill="1" applyBorder="1"/>
    <xf numFmtId="0" fontId="63" fillId="24" borderId="15" xfId="0" applyFont="1" applyFill="1" applyBorder="1" applyAlignment="1">
      <alignment horizontal="right"/>
    </xf>
    <xf numFmtId="0" fontId="24" fillId="24" borderId="39" xfId="0" applyFont="1" applyFill="1" applyBorder="1"/>
    <xf numFmtId="0" fontId="33" fillId="35" borderId="17" xfId="0" applyFont="1" applyFill="1" applyBorder="1" applyAlignment="1">
      <alignment horizontal="center" vertical="center"/>
    </xf>
    <xf numFmtId="0" fontId="33" fillId="35" borderId="18" xfId="0" applyFont="1" applyFill="1" applyBorder="1" applyAlignment="1">
      <alignment horizontal="center" vertical="center"/>
    </xf>
    <xf numFmtId="0" fontId="33" fillId="35" borderId="19" xfId="0" applyFont="1" applyFill="1" applyBorder="1" applyAlignment="1">
      <alignment horizontal="center" vertical="center"/>
    </xf>
    <xf numFmtId="0" fontId="33" fillId="41" borderId="17" xfId="0" applyFont="1" applyFill="1" applyBorder="1" applyAlignment="1">
      <alignment horizontal="center" vertical="center"/>
    </xf>
    <xf numFmtId="0" fontId="33" fillId="41" borderId="18" xfId="0" applyFont="1" applyFill="1" applyBorder="1" applyAlignment="1">
      <alignment horizontal="center" vertical="center"/>
    </xf>
    <xf numFmtId="0" fontId="33" fillId="41" borderId="19" xfId="0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0" fontId="49" fillId="34" borderId="18" xfId="0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33" fillId="27" borderId="17" xfId="0" applyFont="1" applyFill="1" applyBorder="1" applyAlignment="1">
      <alignment horizontal="center" vertical="center"/>
    </xf>
    <xf numFmtId="0" fontId="33" fillId="27" borderId="18" xfId="0" applyFont="1" applyFill="1" applyBorder="1" applyAlignment="1">
      <alignment horizontal="center" vertical="center"/>
    </xf>
    <xf numFmtId="0" fontId="33" fillId="27" borderId="19" xfId="0" applyFont="1" applyFill="1" applyBorder="1" applyAlignment="1">
      <alignment horizontal="center" vertical="center"/>
    </xf>
    <xf numFmtId="0" fontId="49" fillId="33" borderId="17" xfId="0" applyFont="1" applyFill="1" applyBorder="1" applyAlignment="1">
      <alignment horizontal="center" vertical="center"/>
    </xf>
    <xf numFmtId="0" fontId="49" fillId="33" borderId="18" xfId="0" applyFont="1" applyFill="1" applyBorder="1" applyAlignment="1">
      <alignment horizontal="center" vertical="center"/>
    </xf>
    <xf numFmtId="0" fontId="49" fillId="33" borderId="19" xfId="0" applyFont="1" applyFill="1" applyBorder="1" applyAlignment="1">
      <alignment horizontal="center" vertical="center"/>
    </xf>
    <xf numFmtId="0" fontId="33" fillId="42" borderId="17" xfId="0" applyFont="1" applyFill="1" applyBorder="1" applyAlignment="1">
      <alignment horizontal="center" vertical="center"/>
    </xf>
    <xf numFmtId="0" fontId="33" fillId="42" borderId="18" xfId="0" applyFont="1" applyFill="1" applyBorder="1" applyAlignment="1">
      <alignment horizontal="center" vertical="center"/>
    </xf>
    <xf numFmtId="0" fontId="33" fillId="42" borderId="19" xfId="0" applyFont="1" applyFill="1" applyBorder="1" applyAlignment="1">
      <alignment horizontal="center" vertical="center"/>
    </xf>
    <xf numFmtId="0" fontId="24" fillId="34" borderId="17" xfId="0" applyFont="1" applyFill="1" applyBorder="1"/>
    <xf numFmtId="0" fontId="24" fillId="44" borderId="17" xfId="0" applyFont="1" applyFill="1" applyBorder="1"/>
    <xf numFmtId="0" fontId="33" fillId="44" borderId="18" xfId="0" applyFont="1" applyFill="1" applyBorder="1" applyAlignment="1">
      <alignment horizontal="center" vertical="center"/>
    </xf>
    <xf numFmtId="0" fontId="33" fillId="44" borderId="17" xfId="0" applyFont="1" applyFill="1" applyBorder="1" applyAlignment="1">
      <alignment horizontal="center" vertical="center"/>
    </xf>
    <xf numFmtId="0" fontId="33" fillId="44" borderId="19" xfId="0" applyFont="1" applyFill="1" applyBorder="1" applyAlignment="1">
      <alignment horizontal="center" vertical="center"/>
    </xf>
    <xf numFmtId="0" fontId="24" fillId="33" borderId="17" xfId="0" applyFont="1" applyFill="1" applyBorder="1"/>
    <xf numFmtId="0" fontId="24" fillId="35" borderId="17" xfId="0" applyFont="1" applyFill="1" applyBorder="1"/>
    <xf numFmtId="0" fontId="24" fillId="41" borderId="17" xfId="0" applyFont="1" applyFill="1" applyBorder="1"/>
    <xf numFmtId="0" fontId="24" fillId="42" borderId="17" xfId="0" applyFont="1" applyFill="1" applyBorder="1"/>
    <xf numFmtId="0" fontId="38" fillId="29" borderId="0" xfId="0" applyFont="1" applyFill="1" applyBorder="1" applyAlignment="1"/>
    <xf numFmtId="20" fontId="41" fillId="25" borderId="16" xfId="0" applyNumberFormat="1" applyFont="1" applyFill="1" applyBorder="1" applyAlignment="1">
      <alignment horizontal="center"/>
    </xf>
    <xf numFmtId="0" fontId="0" fillId="0" borderId="0" xfId="0" applyAlignment="1"/>
    <xf numFmtId="0" fontId="41" fillId="28" borderId="31" xfId="0" applyFont="1" applyFill="1" applyBorder="1" applyAlignment="1">
      <alignment horizontal="center" vertical="center"/>
    </xf>
    <xf numFmtId="0" fontId="0" fillId="46" borderId="0" xfId="0" applyFill="1"/>
    <xf numFmtId="0" fontId="44" fillId="27" borderId="17" xfId="0" applyFont="1" applyFill="1" applyBorder="1" applyAlignment="1">
      <alignment horizontal="center" vertical="center"/>
    </xf>
    <xf numFmtId="0" fontId="44" fillId="27" borderId="18" xfId="0" applyFont="1" applyFill="1" applyBorder="1" applyAlignment="1">
      <alignment horizontal="center" vertical="center"/>
    </xf>
    <xf numFmtId="0" fontId="44" fillId="27" borderId="19" xfId="0" applyFont="1" applyFill="1" applyBorder="1" applyAlignment="1">
      <alignment horizontal="center" vertical="center"/>
    </xf>
    <xf numFmtId="0" fontId="30" fillId="26" borderId="18" xfId="0" applyFont="1" applyFill="1" applyBorder="1" applyAlignment="1">
      <alignment horizontal="center" vertical="center"/>
    </xf>
    <xf numFmtId="0" fontId="54" fillId="25" borderId="17" xfId="0" applyFont="1" applyFill="1" applyBorder="1" applyAlignment="1">
      <alignment horizontal="center" vertical="center"/>
    </xf>
    <xf numFmtId="0" fontId="54" fillId="25" borderId="18" xfId="0" applyFont="1" applyFill="1" applyBorder="1" applyAlignment="1">
      <alignment horizontal="center" vertical="center"/>
    </xf>
    <xf numFmtId="0" fontId="54" fillId="25" borderId="19" xfId="0" applyFont="1" applyFill="1" applyBorder="1" applyAlignment="1">
      <alignment horizontal="center" vertical="center"/>
    </xf>
    <xf numFmtId="0" fontId="49" fillId="29" borderId="0" xfId="0" applyFont="1" applyFill="1" applyBorder="1" applyAlignment="1">
      <alignment horizontal="right"/>
    </xf>
    <xf numFmtId="0" fontId="49" fillId="29" borderId="14" xfId="0" applyFont="1" applyFill="1" applyBorder="1" applyAlignment="1">
      <alignment horizontal="right"/>
    </xf>
    <xf numFmtId="0" fontId="35" fillId="24" borderId="0" xfId="0" applyFont="1" applyFill="1" applyBorder="1" applyAlignment="1">
      <alignment horizontal="center" vertical="center"/>
    </xf>
    <xf numFmtId="0" fontId="34" fillId="24" borderId="0" xfId="0" applyFont="1" applyFill="1" applyBorder="1" applyAlignment="1">
      <alignment horizontal="center" vertical="center"/>
    </xf>
    <xf numFmtId="0" fontId="54" fillId="45" borderId="17" xfId="0" applyFont="1" applyFill="1" applyBorder="1" applyAlignment="1">
      <alignment horizontal="center" vertical="center"/>
    </xf>
    <xf numFmtId="0" fontId="54" fillId="45" borderId="18" xfId="0" applyFont="1" applyFill="1" applyBorder="1" applyAlignment="1">
      <alignment horizontal="center" vertical="center"/>
    </xf>
    <xf numFmtId="0" fontId="54" fillId="45" borderId="19" xfId="0" applyFont="1" applyFill="1" applyBorder="1" applyAlignment="1">
      <alignment horizontal="center" vertical="center"/>
    </xf>
    <xf numFmtId="0" fontId="35" fillId="26" borderId="17" xfId="0" applyFont="1" applyFill="1" applyBorder="1" applyAlignment="1">
      <alignment horizontal="right" vertical="center"/>
    </xf>
    <xf numFmtId="0" fontId="35" fillId="26" borderId="18" xfId="0" applyFont="1" applyFill="1" applyBorder="1" applyAlignment="1">
      <alignment horizontal="right" vertical="center"/>
    </xf>
    <xf numFmtId="0" fontId="64" fillId="25" borderId="17" xfId="0" applyFont="1" applyFill="1" applyBorder="1" applyAlignment="1">
      <alignment horizontal="center" vertical="center"/>
    </xf>
    <xf numFmtId="0" fontId="65" fillId="25" borderId="19" xfId="0" applyFont="1" applyFill="1" applyBorder="1"/>
    <xf numFmtId="0" fontId="26" fillId="25" borderId="10" xfId="0" applyFont="1" applyFill="1" applyBorder="1" applyAlignment="1">
      <alignment horizontal="center" vertical="center"/>
    </xf>
    <xf numFmtId="0" fontId="26" fillId="25" borderId="11" xfId="0" applyFont="1" applyFill="1" applyBorder="1" applyAlignment="1">
      <alignment horizontal="center" vertical="center"/>
    </xf>
    <xf numFmtId="0" fontId="26" fillId="25" borderId="12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39" xfId="0" applyBorder="1" applyAlignment="1">
      <alignment vertical="center"/>
    </xf>
    <xf numFmtId="0" fontId="29" fillId="24" borderId="0" xfId="34" applyFont="1" applyFill="1" applyBorder="1" applyAlignment="1" applyProtection="1">
      <alignment horizontal="center"/>
    </xf>
    <xf numFmtId="0" fontId="31" fillId="27" borderId="17" xfId="0" applyFont="1" applyFill="1" applyBorder="1" applyAlignment="1">
      <alignment horizontal="center" vertical="center"/>
    </xf>
    <xf numFmtId="0" fontId="31" fillId="27" borderId="18" xfId="0" applyFont="1" applyFill="1" applyBorder="1" applyAlignment="1">
      <alignment horizontal="center" vertical="center"/>
    </xf>
    <xf numFmtId="0" fontId="31" fillId="27" borderId="19" xfId="0" applyFont="1" applyFill="1" applyBorder="1" applyAlignment="1">
      <alignment horizontal="center" vertical="center"/>
    </xf>
    <xf numFmtId="0" fontId="35" fillId="26" borderId="18" xfId="0" applyFont="1" applyFill="1" applyBorder="1" applyAlignment="1">
      <alignment horizontal="left" vertical="center"/>
    </xf>
    <xf numFmtId="0" fontId="35" fillId="26" borderId="19" xfId="0" applyFont="1" applyFill="1" applyBorder="1" applyAlignment="1">
      <alignment horizontal="left" vertical="center"/>
    </xf>
    <xf numFmtId="0" fontId="57" fillId="24" borderId="0" xfId="34" applyFont="1" applyFill="1" applyBorder="1" applyAlignment="1" applyProtection="1">
      <alignment horizontal="left"/>
    </xf>
    <xf numFmtId="0" fontId="58" fillId="24" borderId="0" xfId="0" applyFont="1" applyFill="1" applyBorder="1" applyAlignment="1">
      <alignment horizontal="right"/>
    </xf>
    <xf numFmtId="0" fontId="33" fillId="27" borderId="18" xfId="0" applyFont="1" applyFill="1" applyBorder="1" applyAlignment="1">
      <alignment horizontal="center"/>
    </xf>
  </cellXfs>
  <cellStyles count="4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" xfId="34" builtinId="8"/>
    <cellStyle name="Hyperlink 2" xfId="35"/>
    <cellStyle name="Input" xfId="36"/>
    <cellStyle name="Linked Cell" xfId="37"/>
    <cellStyle name="Neutral" xfId="38"/>
    <cellStyle name="Normal 2" xfId="39"/>
    <cellStyle name="Normal 3" xfId="40"/>
    <cellStyle name="Normal 4" xfId="41"/>
    <cellStyle name="Normal_RWC2003" xfId="42"/>
    <cellStyle name="Normal_W-CupLg-bk" xfId="43"/>
    <cellStyle name="Note" xfId="44"/>
    <cellStyle name="Output" xfId="45"/>
    <cellStyle name="Standaard" xfId="0" builtinId="0"/>
    <cellStyle name="Title" xfId="46"/>
    <cellStyle name="Total" xfId="47"/>
    <cellStyle name="Warning Text" xfId="48"/>
  </cellStyles>
  <dxfs count="0"/>
  <tableStyles count="0" defaultTableStyle="TableStyleMedium9" defaultPivotStyle="PivotStyleLight16"/>
  <colors>
    <mruColors>
      <color rgb="FF99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57</xdr:col>
      <xdr:colOff>830580</xdr:colOff>
      <xdr:row>0</xdr:row>
      <xdr:rowOff>114300</xdr:rowOff>
    </xdr:from>
    <xdr:to>
      <xdr:col>59</xdr:col>
      <xdr:colOff>30480</xdr:colOff>
      <xdr:row>3</xdr:row>
      <xdr:rowOff>12700</xdr:rowOff>
    </xdr:to>
    <xdr:pic>
      <xdr:nvPicPr>
        <xdr:cNvPr id="1027" name="Picture 3" descr="fwc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472660" y="114300"/>
          <a:ext cx="1493520" cy="12954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8</xdr:row>
      <xdr:rowOff>30480</xdr:rowOff>
    </xdr:from>
    <xdr:to>
      <xdr:col>4</xdr:col>
      <xdr:colOff>327660</xdr:colOff>
      <xdr:row>9</xdr:row>
      <xdr:rowOff>0</xdr:rowOff>
    </xdr:to>
    <xdr:pic>
      <xdr:nvPicPr>
        <xdr:cNvPr id="1028" name="Picture 4" descr="RSA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60320" y="2811780"/>
          <a:ext cx="32766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8</xdr:row>
      <xdr:rowOff>30480</xdr:rowOff>
    </xdr:from>
    <xdr:to>
      <xdr:col>9</xdr:col>
      <xdr:colOff>327660</xdr:colOff>
      <xdr:row>9</xdr:row>
      <xdr:rowOff>0</xdr:rowOff>
    </xdr:to>
    <xdr:pic>
      <xdr:nvPicPr>
        <xdr:cNvPr id="1029" name="Picture 5" descr="MEX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615940" y="281178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9</xdr:row>
      <xdr:rowOff>15240</xdr:rowOff>
    </xdr:from>
    <xdr:to>
      <xdr:col>4</xdr:col>
      <xdr:colOff>327660</xdr:colOff>
      <xdr:row>10</xdr:row>
      <xdr:rowOff>0</xdr:rowOff>
    </xdr:to>
    <xdr:pic>
      <xdr:nvPicPr>
        <xdr:cNvPr id="1030" name="Picture 6" descr="URU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2567940" y="3017520"/>
          <a:ext cx="320040" cy="20574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9</xdr:row>
      <xdr:rowOff>30480</xdr:rowOff>
    </xdr:from>
    <xdr:to>
      <xdr:col>9</xdr:col>
      <xdr:colOff>327660</xdr:colOff>
      <xdr:row>10</xdr:row>
      <xdr:rowOff>0</xdr:rowOff>
    </xdr:to>
    <xdr:pic>
      <xdr:nvPicPr>
        <xdr:cNvPr id="1031" name="Picture 7" descr="FRA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5615940" y="303276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10</xdr:row>
      <xdr:rowOff>15240</xdr:rowOff>
    </xdr:from>
    <xdr:to>
      <xdr:col>4</xdr:col>
      <xdr:colOff>327660</xdr:colOff>
      <xdr:row>11</xdr:row>
      <xdr:rowOff>0</xdr:rowOff>
    </xdr:to>
    <xdr:pic>
      <xdr:nvPicPr>
        <xdr:cNvPr id="1032" name="Picture 8" descr="AR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2567940" y="3238500"/>
          <a:ext cx="320040" cy="20574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10</xdr:row>
      <xdr:rowOff>15240</xdr:rowOff>
    </xdr:from>
    <xdr:to>
      <xdr:col>9</xdr:col>
      <xdr:colOff>327660</xdr:colOff>
      <xdr:row>11</xdr:row>
      <xdr:rowOff>0</xdr:rowOff>
    </xdr:to>
    <xdr:pic>
      <xdr:nvPicPr>
        <xdr:cNvPr id="1033" name="Picture 9" descr="NI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5615940" y="3238500"/>
          <a:ext cx="304800" cy="20574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11</xdr:row>
      <xdr:rowOff>15240</xdr:rowOff>
    </xdr:from>
    <xdr:to>
      <xdr:col>4</xdr:col>
      <xdr:colOff>327660</xdr:colOff>
      <xdr:row>12</xdr:row>
      <xdr:rowOff>0</xdr:rowOff>
    </xdr:to>
    <xdr:pic>
      <xdr:nvPicPr>
        <xdr:cNvPr id="1034" name="Picture 10" descr="KO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567940" y="3459480"/>
          <a:ext cx="320040" cy="20574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11</xdr:row>
      <xdr:rowOff>15240</xdr:rowOff>
    </xdr:from>
    <xdr:to>
      <xdr:col>9</xdr:col>
      <xdr:colOff>327660</xdr:colOff>
      <xdr:row>12</xdr:row>
      <xdr:rowOff>0</xdr:rowOff>
    </xdr:to>
    <xdr:pic>
      <xdr:nvPicPr>
        <xdr:cNvPr id="1035" name="Picture 11" descr="GRE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5615940" y="3459480"/>
          <a:ext cx="304800" cy="20574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12</xdr:row>
      <xdr:rowOff>30480</xdr:rowOff>
    </xdr:from>
    <xdr:to>
      <xdr:col>4</xdr:col>
      <xdr:colOff>327660</xdr:colOff>
      <xdr:row>13</xdr:row>
      <xdr:rowOff>0</xdr:rowOff>
    </xdr:to>
    <xdr:pic>
      <xdr:nvPicPr>
        <xdr:cNvPr id="1036" name="Picture 12" descr="ENG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2567940" y="3695700"/>
          <a:ext cx="32004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12</xdr:row>
      <xdr:rowOff>15240</xdr:rowOff>
    </xdr:from>
    <xdr:to>
      <xdr:col>9</xdr:col>
      <xdr:colOff>327660</xdr:colOff>
      <xdr:row>13</xdr:row>
      <xdr:rowOff>0</xdr:rowOff>
    </xdr:to>
    <xdr:pic>
      <xdr:nvPicPr>
        <xdr:cNvPr id="1037" name="Picture 13" descr="USA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5600700" y="3680460"/>
          <a:ext cx="320040" cy="20574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13</xdr:row>
      <xdr:rowOff>15240</xdr:rowOff>
    </xdr:from>
    <xdr:to>
      <xdr:col>4</xdr:col>
      <xdr:colOff>327660</xdr:colOff>
      <xdr:row>13</xdr:row>
      <xdr:rowOff>198120</xdr:rowOff>
    </xdr:to>
    <xdr:pic>
      <xdr:nvPicPr>
        <xdr:cNvPr id="1038" name="Picture 14" descr="AL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583180" y="3901440"/>
          <a:ext cx="304800" cy="18288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13</xdr:row>
      <xdr:rowOff>15240</xdr:rowOff>
    </xdr:from>
    <xdr:to>
      <xdr:col>9</xdr:col>
      <xdr:colOff>327660</xdr:colOff>
      <xdr:row>14</xdr:row>
      <xdr:rowOff>0</xdr:rowOff>
    </xdr:to>
    <xdr:pic>
      <xdr:nvPicPr>
        <xdr:cNvPr id="1039" name="Picture 15" descr="SVN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5615940" y="3901440"/>
          <a:ext cx="304800" cy="20574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14</xdr:row>
      <xdr:rowOff>7620</xdr:rowOff>
    </xdr:from>
    <xdr:to>
      <xdr:col>4</xdr:col>
      <xdr:colOff>327660</xdr:colOff>
      <xdr:row>15</xdr:row>
      <xdr:rowOff>0</xdr:rowOff>
    </xdr:to>
    <xdr:pic>
      <xdr:nvPicPr>
        <xdr:cNvPr id="1040" name="Picture 16" descr="G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2567940" y="4114800"/>
          <a:ext cx="320040" cy="21336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14</xdr:row>
      <xdr:rowOff>15240</xdr:rowOff>
    </xdr:from>
    <xdr:to>
      <xdr:col>9</xdr:col>
      <xdr:colOff>327660</xdr:colOff>
      <xdr:row>15</xdr:row>
      <xdr:rowOff>0</xdr:rowOff>
    </xdr:to>
    <xdr:pic>
      <xdr:nvPicPr>
        <xdr:cNvPr id="1041" name="Picture 17" descr="AUS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5615940" y="4122420"/>
          <a:ext cx="304800" cy="20574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15</xdr:row>
      <xdr:rowOff>15240</xdr:rowOff>
    </xdr:from>
    <xdr:to>
      <xdr:col>4</xdr:col>
      <xdr:colOff>327660</xdr:colOff>
      <xdr:row>16</xdr:row>
      <xdr:rowOff>0</xdr:rowOff>
    </xdr:to>
    <xdr:pic>
      <xdr:nvPicPr>
        <xdr:cNvPr id="1042" name="Picture 18" descr="SRB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2567940" y="4343400"/>
          <a:ext cx="320040" cy="20574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15</xdr:row>
      <xdr:rowOff>15240</xdr:rowOff>
    </xdr:from>
    <xdr:to>
      <xdr:col>9</xdr:col>
      <xdr:colOff>327660</xdr:colOff>
      <xdr:row>16</xdr:row>
      <xdr:rowOff>0</xdr:rowOff>
    </xdr:to>
    <xdr:pic>
      <xdr:nvPicPr>
        <xdr:cNvPr id="1043" name="Picture 19" descr="GH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5615940" y="4343400"/>
          <a:ext cx="304800" cy="20574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16</xdr:row>
      <xdr:rowOff>15240</xdr:rowOff>
    </xdr:from>
    <xdr:to>
      <xdr:col>4</xdr:col>
      <xdr:colOff>320040</xdr:colOff>
      <xdr:row>16</xdr:row>
      <xdr:rowOff>205740</xdr:rowOff>
    </xdr:to>
    <xdr:pic>
      <xdr:nvPicPr>
        <xdr:cNvPr id="1044" name="Picture 20" descr="NED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2567940" y="456438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16</xdr:row>
      <xdr:rowOff>30480</xdr:rowOff>
    </xdr:from>
    <xdr:to>
      <xdr:col>9</xdr:col>
      <xdr:colOff>327660</xdr:colOff>
      <xdr:row>17</xdr:row>
      <xdr:rowOff>0</xdr:rowOff>
    </xdr:to>
    <xdr:pic>
      <xdr:nvPicPr>
        <xdr:cNvPr id="1045" name="Picture 21" descr="DEN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5615940" y="457962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17</xdr:row>
      <xdr:rowOff>30480</xdr:rowOff>
    </xdr:from>
    <xdr:to>
      <xdr:col>4</xdr:col>
      <xdr:colOff>320040</xdr:colOff>
      <xdr:row>17</xdr:row>
      <xdr:rowOff>205740</xdr:rowOff>
    </xdr:to>
    <xdr:pic>
      <xdr:nvPicPr>
        <xdr:cNvPr id="1046" name="Picture 22" descr="JPN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/>
        <a:srcRect/>
        <a:stretch>
          <a:fillRect/>
        </a:stretch>
      </xdr:blipFill>
      <xdr:spPr bwMode="auto">
        <a:xfrm>
          <a:off x="2567940" y="4800600"/>
          <a:ext cx="312420" cy="17526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17</xdr:row>
      <xdr:rowOff>15240</xdr:rowOff>
    </xdr:from>
    <xdr:to>
      <xdr:col>9</xdr:col>
      <xdr:colOff>327660</xdr:colOff>
      <xdr:row>17</xdr:row>
      <xdr:rowOff>205740</xdr:rowOff>
    </xdr:to>
    <xdr:pic>
      <xdr:nvPicPr>
        <xdr:cNvPr id="1047" name="Picture 23" descr="CMR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/>
        <a:srcRect/>
        <a:stretch>
          <a:fillRect/>
        </a:stretch>
      </xdr:blipFill>
      <xdr:spPr bwMode="auto">
        <a:xfrm>
          <a:off x="5615940" y="478536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30480</xdr:colOff>
      <xdr:row>18</xdr:row>
      <xdr:rowOff>22860</xdr:rowOff>
    </xdr:from>
    <xdr:to>
      <xdr:col>4</xdr:col>
      <xdr:colOff>320040</xdr:colOff>
      <xdr:row>18</xdr:row>
      <xdr:rowOff>213360</xdr:rowOff>
    </xdr:to>
    <xdr:pic>
      <xdr:nvPicPr>
        <xdr:cNvPr id="1048" name="Picture 24" descr="ITA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/>
        <a:srcRect/>
        <a:stretch>
          <a:fillRect/>
        </a:stretch>
      </xdr:blipFill>
      <xdr:spPr bwMode="auto">
        <a:xfrm>
          <a:off x="2590800" y="5059680"/>
          <a:ext cx="28956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18</xdr:row>
      <xdr:rowOff>22860</xdr:rowOff>
    </xdr:from>
    <xdr:to>
      <xdr:col>9</xdr:col>
      <xdr:colOff>320040</xdr:colOff>
      <xdr:row>18</xdr:row>
      <xdr:rowOff>213360</xdr:rowOff>
    </xdr:to>
    <xdr:pic>
      <xdr:nvPicPr>
        <xdr:cNvPr id="1049" name="Picture 25" descr="PA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/>
        <a:srcRect/>
        <a:stretch>
          <a:fillRect/>
        </a:stretch>
      </xdr:blipFill>
      <xdr:spPr bwMode="auto">
        <a:xfrm>
          <a:off x="5600700" y="505968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19</xdr:row>
      <xdr:rowOff>15240</xdr:rowOff>
    </xdr:from>
    <xdr:to>
      <xdr:col>4</xdr:col>
      <xdr:colOff>327660</xdr:colOff>
      <xdr:row>19</xdr:row>
      <xdr:rowOff>205740</xdr:rowOff>
    </xdr:to>
    <xdr:pic>
      <xdr:nvPicPr>
        <xdr:cNvPr id="1050" name="Picture 26" descr="NZL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/>
        <a:srcRect/>
        <a:stretch>
          <a:fillRect/>
        </a:stretch>
      </xdr:blipFill>
      <xdr:spPr bwMode="auto">
        <a:xfrm>
          <a:off x="2583180" y="529590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19</xdr:row>
      <xdr:rowOff>7620</xdr:rowOff>
    </xdr:from>
    <xdr:to>
      <xdr:col>9</xdr:col>
      <xdr:colOff>327660</xdr:colOff>
      <xdr:row>19</xdr:row>
      <xdr:rowOff>198120</xdr:rowOff>
    </xdr:to>
    <xdr:pic>
      <xdr:nvPicPr>
        <xdr:cNvPr id="1051" name="Picture 27" descr="SVK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/>
        <a:srcRect/>
        <a:stretch>
          <a:fillRect/>
        </a:stretch>
      </xdr:blipFill>
      <xdr:spPr bwMode="auto">
        <a:xfrm>
          <a:off x="5615940" y="528828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20</xdr:row>
      <xdr:rowOff>15240</xdr:rowOff>
    </xdr:from>
    <xdr:to>
      <xdr:col>4</xdr:col>
      <xdr:colOff>320040</xdr:colOff>
      <xdr:row>20</xdr:row>
      <xdr:rowOff>205740</xdr:rowOff>
    </xdr:to>
    <xdr:pic>
      <xdr:nvPicPr>
        <xdr:cNvPr id="1052" name="Picture 28" descr="CIV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/>
        <a:srcRect/>
        <a:stretch>
          <a:fillRect/>
        </a:stretch>
      </xdr:blipFill>
      <xdr:spPr bwMode="auto">
        <a:xfrm>
          <a:off x="2567940" y="551688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20</xdr:row>
      <xdr:rowOff>15240</xdr:rowOff>
    </xdr:from>
    <xdr:to>
      <xdr:col>9</xdr:col>
      <xdr:colOff>327660</xdr:colOff>
      <xdr:row>20</xdr:row>
      <xdr:rowOff>198120</xdr:rowOff>
    </xdr:to>
    <xdr:pic>
      <xdr:nvPicPr>
        <xdr:cNvPr id="1053" name="Picture 29" descr="POR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/>
        <a:srcRect/>
        <a:stretch>
          <a:fillRect/>
        </a:stretch>
      </xdr:blipFill>
      <xdr:spPr bwMode="auto">
        <a:xfrm>
          <a:off x="5615940" y="5516880"/>
          <a:ext cx="304800" cy="18288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21</xdr:row>
      <xdr:rowOff>15240</xdr:rowOff>
    </xdr:from>
    <xdr:to>
      <xdr:col>5</xdr:col>
      <xdr:colOff>0</xdr:colOff>
      <xdr:row>21</xdr:row>
      <xdr:rowOff>205740</xdr:rowOff>
    </xdr:to>
    <xdr:pic>
      <xdr:nvPicPr>
        <xdr:cNvPr id="1054" name="Picture 30" descr="BRA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/>
        <a:srcRect/>
        <a:stretch>
          <a:fillRect/>
        </a:stretch>
      </xdr:blipFill>
      <xdr:spPr bwMode="auto">
        <a:xfrm>
          <a:off x="2567940" y="5737860"/>
          <a:ext cx="32766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21</xdr:row>
      <xdr:rowOff>15240</xdr:rowOff>
    </xdr:from>
    <xdr:to>
      <xdr:col>9</xdr:col>
      <xdr:colOff>327660</xdr:colOff>
      <xdr:row>21</xdr:row>
      <xdr:rowOff>205740</xdr:rowOff>
    </xdr:to>
    <xdr:pic>
      <xdr:nvPicPr>
        <xdr:cNvPr id="1055" name="Picture 31" descr="PRK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5615940" y="573786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22</xdr:row>
      <xdr:rowOff>15240</xdr:rowOff>
    </xdr:from>
    <xdr:to>
      <xdr:col>4</xdr:col>
      <xdr:colOff>320040</xdr:colOff>
      <xdr:row>22</xdr:row>
      <xdr:rowOff>205740</xdr:rowOff>
    </xdr:to>
    <xdr:pic>
      <xdr:nvPicPr>
        <xdr:cNvPr id="1056" name="Picture 32" descr="HON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2567940" y="595884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22</xdr:row>
      <xdr:rowOff>30480</xdr:rowOff>
    </xdr:from>
    <xdr:to>
      <xdr:col>9</xdr:col>
      <xdr:colOff>320040</xdr:colOff>
      <xdr:row>22</xdr:row>
      <xdr:rowOff>213360</xdr:rowOff>
    </xdr:to>
    <xdr:pic>
      <xdr:nvPicPr>
        <xdr:cNvPr id="1057" name="Picture 33" descr="CHI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/>
        <a:srcRect/>
        <a:stretch>
          <a:fillRect/>
        </a:stretch>
      </xdr:blipFill>
      <xdr:spPr bwMode="auto">
        <a:xfrm>
          <a:off x="5615940" y="5974080"/>
          <a:ext cx="297180" cy="18288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23</xdr:row>
      <xdr:rowOff>30480</xdr:rowOff>
    </xdr:from>
    <xdr:to>
      <xdr:col>4</xdr:col>
      <xdr:colOff>327660</xdr:colOff>
      <xdr:row>24</xdr:row>
      <xdr:rowOff>0</xdr:rowOff>
    </xdr:to>
    <xdr:pic>
      <xdr:nvPicPr>
        <xdr:cNvPr id="1058" name="Picture 34" descr="ESP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/>
        <a:srcRect/>
        <a:stretch>
          <a:fillRect/>
        </a:stretch>
      </xdr:blipFill>
      <xdr:spPr bwMode="auto">
        <a:xfrm>
          <a:off x="2583180" y="619506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23</xdr:row>
      <xdr:rowOff>30480</xdr:rowOff>
    </xdr:from>
    <xdr:to>
      <xdr:col>9</xdr:col>
      <xdr:colOff>320040</xdr:colOff>
      <xdr:row>23</xdr:row>
      <xdr:rowOff>213360</xdr:rowOff>
    </xdr:to>
    <xdr:pic>
      <xdr:nvPicPr>
        <xdr:cNvPr id="1059" name="Picture 35" descr="SUI"/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/>
        <a:srcRect/>
        <a:stretch>
          <a:fillRect/>
        </a:stretch>
      </xdr:blipFill>
      <xdr:spPr bwMode="auto">
        <a:xfrm>
          <a:off x="5600700" y="6195060"/>
          <a:ext cx="312420" cy="18288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25</xdr:row>
      <xdr:rowOff>30480</xdr:rowOff>
    </xdr:from>
    <xdr:to>
      <xdr:col>4</xdr:col>
      <xdr:colOff>327660</xdr:colOff>
      <xdr:row>25</xdr:row>
      <xdr:rowOff>213360</xdr:rowOff>
    </xdr:to>
    <xdr:pic>
      <xdr:nvPicPr>
        <xdr:cNvPr id="1060" name="Picture 36" descr="RSA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60320" y="6629400"/>
          <a:ext cx="327660" cy="18288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43</xdr:row>
      <xdr:rowOff>30480</xdr:rowOff>
    </xdr:from>
    <xdr:to>
      <xdr:col>4</xdr:col>
      <xdr:colOff>327660</xdr:colOff>
      <xdr:row>43</xdr:row>
      <xdr:rowOff>213360</xdr:rowOff>
    </xdr:to>
    <xdr:pic>
      <xdr:nvPicPr>
        <xdr:cNvPr id="1061" name="Picture 37" descr="RSA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60320" y="10668000"/>
          <a:ext cx="327660" cy="18288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26</xdr:row>
      <xdr:rowOff>30480</xdr:rowOff>
    </xdr:from>
    <xdr:to>
      <xdr:col>9</xdr:col>
      <xdr:colOff>327660</xdr:colOff>
      <xdr:row>26</xdr:row>
      <xdr:rowOff>213360</xdr:rowOff>
    </xdr:to>
    <xdr:pic>
      <xdr:nvPicPr>
        <xdr:cNvPr id="1062" name="Picture 38" descr="MEX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615940" y="6850380"/>
          <a:ext cx="304800" cy="18288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42</xdr:row>
      <xdr:rowOff>30480</xdr:rowOff>
    </xdr:from>
    <xdr:to>
      <xdr:col>4</xdr:col>
      <xdr:colOff>327660</xdr:colOff>
      <xdr:row>42</xdr:row>
      <xdr:rowOff>213360</xdr:rowOff>
    </xdr:to>
    <xdr:pic>
      <xdr:nvPicPr>
        <xdr:cNvPr id="1063" name="Picture 39" descr="MEX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583180" y="10447020"/>
          <a:ext cx="304800" cy="18288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25</xdr:row>
      <xdr:rowOff>15240</xdr:rowOff>
    </xdr:from>
    <xdr:to>
      <xdr:col>9</xdr:col>
      <xdr:colOff>320040</xdr:colOff>
      <xdr:row>25</xdr:row>
      <xdr:rowOff>205740</xdr:rowOff>
    </xdr:to>
    <xdr:pic>
      <xdr:nvPicPr>
        <xdr:cNvPr id="1064" name="Picture 40" descr="URU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600700" y="661416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42</xdr:row>
      <xdr:rowOff>15240</xdr:rowOff>
    </xdr:from>
    <xdr:to>
      <xdr:col>9</xdr:col>
      <xdr:colOff>320040</xdr:colOff>
      <xdr:row>42</xdr:row>
      <xdr:rowOff>205740</xdr:rowOff>
    </xdr:to>
    <xdr:pic>
      <xdr:nvPicPr>
        <xdr:cNvPr id="1065" name="Picture 41" descr="URU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600700" y="1043178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26</xdr:row>
      <xdr:rowOff>30480</xdr:rowOff>
    </xdr:from>
    <xdr:to>
      <xdr:col>4</xdr:col>
      <xdr:colOff>327660</xdr:colOff>
      <xdr:row>26</xdr:row>
      <xdr:rowOff>213360</xdr:rowOff>
    </xdr:to>
    <xdr:pic>
      <xdr:nvPicPr>
        <xdr:cNvPr id="1066" name="Picture 42" descr="FRA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2583180" y="6850380"/>
          <a:ext cx="304800" cy="18288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43</xdr:row>
      <xdr:rowOff>30480</xdr:rowOff>
    </xdr:from>
    <xdr:to>
      <xdr:col>9</xdr:col>
      <xdr:colOff>327660</xdr:colOff>
      <xdr:row>43</xdr:row>
      <xdr:rowOff>213360</xdr:rowOff>
    </xdr:to>
    <xdr:pic>
      <xdr:nvPicPr>
        <xdr:cNvPr id="1067" name="Picture 43" descr="FRA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5615940" y="10668000"/>
          <a:ext cx="304800" cy="18288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28</xdr:row>
      <xdr:rowOff>15240</xdr:rowOff>
    </xdr:from>
    <xdr:to>
      <xdr:col>4</xdr:col>
      <xdr:colOff>320040</xdr:colOff>
      <xdr:row>28</xdr:row>
      <xdr:rowOff>205740</xdr:rowOff>
    </xdr:to>
    <xdr:pic>
      <xdr:nvPicPr>
        <xdr:cNvPr id="1068" name="Picture 44" descr="AR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2567940" y="729996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45</xdr:row>
      <xdr:rowOff>15240</xdr:rowOff>
    </xdr:from>
    <xdr:to>
      <xdr:col>4</xdr:col>
      <xdr:colOff>320040</xdr:colOff>
      <xdr:row>45</xdr:row>
      <xdr:rowOff>205740</xdr:rowOff>
    </xdr:to>
    <xdr:pic>
      <xdr:nvPicPr>
        <xdr:cNvPr id="1069" name="Picture 45" descr="AR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2567940" y="1109472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27</xdr:row>
      <xdr:rowOff>22860</xdr:rowOff>
    </xdr:from>
    <xdr:to>
      <xdr:col>9</xdr:col>
      <xdr:colOff>327660</xdr:colOff>
      <xdr:row>27</xdr:row>
      <xdr:rowOff>213360</xdr:rowOff>
    </xdr:to>
    <xdr:pic>
      <xdr:nvPicPr>
        <xdr:cNvPr id="1070" name="Picture 46" descr="NI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5615940" y="706374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44</xdr:row>
      <xdr:rowOff>15240</xdr:rowOff>
    </xdr:from>
    <xdr:to>
      <xdr:col>4</xdr:col>
      <xdr:colOff>327660</xdr:colOff>
      <xdr:row>44</xdr:row>
      <xdr:rowOff>205740</xdr:rowOff>
    </xdr:to>
    <xdr:pic>
      <xdr:nvPicPr>
        <xdr:cNvPr id="1071" name="Picture 47" descr="NI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2583180" y="1087374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28</xdr:row>
      <xdr:rowOff>15240</xdr:rowOff>
    </xdr:from>
    <xdr:to>
      <xdr:col>9</xdr:col>
      <xdr:colOff>320040</xdr:colOff>
      <xdr:row>28</xdr:row>
      <xdr:rowOff>205740</xdr:rowOff>
    </xdr:to>
    <xdr:pic>
      <xdr:nvPicPr>
        <xdr:cNvPr id="1072" name="Picture 48" descr="KO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5600700" y="729996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44</xdr:row>
      <xdr:rowOff>15240</xdr:rowOff>
    </xdr:from>
    <xdr:to>
      <xdr:col>9</xdr:col>
      <xdr:colOff>320040</xdr:colOff>
      <xdr:row>44</xdr:row>
      <xdr:rowOff>205740</xdr:rowOff>
    </xdr:to>
    <xdr:pic>
      <xdr:nvPicPr>
        <xdr:cNvPr id="1073" name="Picture 49" descr="KO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5600700" y="1087374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27</xdr:row>
      <xdr:rowOff>22860</xdr:rowOff>
    </xdr:from>
    <xdr:to>
      <xdr:col>4</xdr:col>
      <xdr:colOff>327660</xdr:colOff>
      <xdr:row>27</xdr:row>
      <xdr:rowOff>213360</xdr:rowOff>
    </xdr:to>
    <xdr:pic>
      <xdr:nvPicPr>
        <xdr:cNvPr id="1074" name="Picture 50" descr="GRE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2583180" y="706374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45</xdr:row>
      <xdr:rowOff>15240</xdr:rowOff>
    </xdr:from>
    <xdr:to>
      <xdr:col>9</xdr:col>
      <xdr:colOff>327660</xdr:colOff>
      <xdr:row>45</xdr:row>
      <xdr:rowOff>205740</xdr:rowOff>
    </xdr:to>
    <xdr:pic>
      <xdr:nvPicPr>
        <xdr:cNvPr id="1075" name="Picture 51" descr="GRE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5615940" y="1109472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31</xdr:row>
      <xdr:rowOff>30480</xdr:rowOff>
    </xdr:from>
    <xdr:to>
      <xdr:col>4</xdr:col>
      <xdr:colOff>320040</xdr:colOff>
      <xdr:row>31</xdr:row>
      <xdr:rowOff>213360</xdr:rowOff>
    </xdr:to>
    <xdr:pic>
      <xdr:nvPicPr>
        <xdr:cNvPr id="1076" name="Picture 52" descr="ENG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2567940" y="7985760"/>
          <a:ext cx="312420" cy="18288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46</xdr:row>
      <xdr:rowOff>30480</xdr:rowOff>
    </xdr:from>
    <xdr:to>
      <xdr:col>4</xdr:col>
      <xdr:colOff>320040</xdr:colOff>
      <xdr:row>46</xdr:row>
      <xdr:rowOff>213360</xdr:rowOff>
    </xdr:to>
    <xdr:pic>
      <xdr:nvPicPr>
        <xdr:cNvPr id="1077" name="Picture 53" descr="ENG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2567940" y="11330940"/>
          <a:ext cx="312420" cy="18288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31</xdr:row>
      <xdr:rowOff>15240</xdr:rowOff>
    </xdr:from>
    <xdr:to>
      <xdr:col>9</xdr:col>
      <xdr:colOff>327660</xdr:colOff>
      <xdr:row>31</xdr:row>
      <xdr:rowOff>198120</xdr:rowOff>
    </xdr:to>
    <xdr:pic>
      <xdr:nvPicPr>
        <xdr:cNvPr id="1078" name="Picture 54" descr="AL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615940" y="7970520"/>
          <a:ext cx="304800" cy="18288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47</xdr:row>
      <xdr:rowOff>22860</xdr:rowOff>
    </xdr:from>
    <xdr:to>
      <xdr:col>9</xdr:col>
      <xdr:colOff>327660</xdr:colOff>
      <xdr:row>47</xdr:row>
      <xdr:rowOff>205740</xdr:rowOff>
    </xdr:to>
    <xdr:pic>
      <xdr:nvPicPr>
        <xdr:cNvPr id="1079" name="Picture 55" descr="AL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615940" y="11544300"/>
          <a:ext cx="304800" cy="18288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30</xdr:row>
      <xdr:rowOff>15240</xdr:rowOff>
    </xdr:from>
    <xdr:to>
      <xdr:col>9</xdr:col>
      <xdr:colOff>320040</xdr:colOff>
      <xdr:row>30</xdr:row>
      <xdr:rowOff>205740</xdr:rowOff>
    </xdr:to>
    <xdr:pic>
      <xdr:nvPicPr>
        <xdr:cNvPr id="1080" name="Picture 56" descr="USA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5600700" y="774954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47</xdr:row>
      <xdr:rowOff>22860</xdr:rowOff>
    </xdr:from>
    <xdr:to>
      <xdr:col>4</xdr:col>
      <xdr:colOff>320040</xdr:colOff>
      <xdr:row>47</xdr:row>
      <xdr:rowOff>213360</xdr:rowOff>
    </xdr:to>
    <xdr:pic>
      <xdr:nvPicPr>
        <xdr:cNvPr id="1081" name="Picture 57" descr="USA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2567940" y="1154430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30</xdr:row>
      <xdr:rowOff>15240</xdr:rowOff>
    </xdr:from>
    <xdr:to>
      <xdr:col>4</xdr:col>
      <xdr:colOff>327660</xdr:colOff>
      <xdr:row>30</xdr:row>
      <xdr:rowOff>205740</xdr:rowOff>
    </xdr:to>
    <xdr:pic>
      <xdr:nvPicPr>
        <xdr:cNvPr id="1082" name="Picture 58" descr="SVN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583180" y="774954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46</xdr:row>
      <xdr:rowOff>15240</xdr:rowOff>
    </xdr:from>
    <xdr:to>
      <xdr:col>9</xdr:col>
      <xdr:colOff>327660</xdr:colOff>
      <xdr:row>46</xdr:row>
      <xdr:rowOff>205740</xdr:rowOff>
    </xdr:to>
    <xdr:pic>
      <xdr:nvPicPr>
        <xdr:cNvPr id="1083" name="Picture 59" descr="SVN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5615940" y="1131570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34</xdr:row>
      <xdr:rowOff>22860</xdr:rowOff>
    </xdr:from>
    <xdr:to>
      <xdr:col>4</xdr:col>
      <xdr:colOff>327660</xdr:colOff>
      <xdr:row>34</xdr:row>
      <xdr:rowOff>213360</xdr:rowOff>
    </xdr:to>
    <xdr:pic>
      <xdr:nvPicPr>
        <xdr:cNvPr id="1084" name="Picture 60" descr="CMR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/>
        <a:srcRect/>
        <a:stretch>
          <a:fillRect/>
        </a:stretch>
      </xdr:blipFill>
      <xdr:spPr bwMode="auto">
        <a:xfrm>
          <a:off x="2583180" y="864108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53</xdr:row>
      <xdr:rowOff>15240</xdr:rowOff>
    </xdr:from>
    <xdr:to>
      <xdr:col>9</xdr:col>
      <xdr:colOff>327660</xdr:colOff>
      <xdr:row>53</xdr:row>
      <xdr:rowOff>205740</xdr:rowOff>
    </xdr:to>
    <xdr:pic>
      <xdr:nvPicPr>
        <xdr:cNvPr id="1085" name="Picture 61" descr="CMR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/>
        <a:srcRect/>
        <a:stretch>
          <a:fillRect/>
        </a:stretch>
      </xdr:blipFill>
      <xdr:spPr bwMode="auto">
        <a:xfrm>
          <a:off x="5615940" y="1291590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38</xdr:row>
      <xdr:rowOff>15240</xdr:rowOff>
    </xdr:from>
    <xdr:to>
      <xdr:col>9</xdr:col>
      <xdr:colOff>327660</xdr:colOff>
      <xdr:row>38</xdr:row>
      <xdr:rowOff>198120</xdr:rowOff>
    </xdr:to>
    <xdr:pic>
      <xdr:nvPicPr>
        <xdr:cNvPr id="1086" name="Picture 62" descr="POR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/>
        <a:srcRect/>
        <a:stretch>
          <a:fillRect/>
        </a:stretch>
      </xdr:blipFill>
      <xdr:spPr bwMode="auto">
        <a:xfrm>
          <a:off x="5615940" y="9555480"/>
          <a:ext cx="304800" cy="18288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54</xdr:row>
      <xdr:rowOff>15240</xdr:rowOff>
    </xdr:from>
    <xdr:to>
      <xdr:col>4</xdr:col>
      <xdr:colOff>327660</xdr:colOff>
      <xdr:row>54</xdr:row>
      <xdr:rowOff>198120</xdr:rowOff>
    </xdr:to>
    <xdr:pic>
      <xdr:nvPicPr>
        <xdr:cNvPr id="1087" name="Picture 63" descr="POR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/>
        <a:srcRect/>
        <a:stretch>
          <a:fillRect/>
        </a:stretch>
      </xdr:blipFill>
      <xdr:spPr bwMode="auto">
        <a:xfrm>
          <a:off x="2583180" y="13136880"/>
          <a:ext cx="304800" cy="18288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49</xdr:row>
      <xdr:rowOff>22860</xdr:rowOff>
    </xdr:from>
    <xdr:to>
      <xdr:col>4</xdr:col>
      <xdr:colOff>327660</xdr:colOff>
      <xdr:row>49</xdr:row>
      <xdr:rowOff>213360</xdr:rowOff>
    </xdr:to>
    <xdr:pic>
      <xdr:nvPicPr>
        <xdr:cNvPr id="1088" name="Picture 64" descr="AUS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2583180" y="1200912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29</xdr:row>
      <xdr:rowOff>7620</xdr:rowOff>
    </xdr:from>
    <xdr:to>
      <xdr:col>4</xdr:col>
      <xdr:colOff>320040</xdr:colOff>
      <xdr:row>29</xdr:row>
      <xdr:rowOff>205740</xdr:rowOff>
    </xdr:to>
    <xdr:pic>
      <xdr:nvPicPr>
        <xdr:cNvPr id="1089" name="Picture 65" descr="G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2567940" y="7520940"/>
          <a:ext cx="312420" cy="19812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48</xdr:row>
      <xdr:rowOff>7620</xdr:rowOff>
    </xdr:from>
    <xdr:to>
      <xdr:col>4</xdr:col>
      <xdr:colOff>320040</xdr:colOff>
      <xdr:row>48</xdr:row>
      <xdr:rowOff>205740</xdr:rowOff>
    </xdr:to>
    <xdr:pic>
      <xdr:nvPicPr>
        <xdr:cNvPr id="1090" name="Picture 66" descr="G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2567940" y="11772900"/>
          <a:ext cx="312420" cy="19812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33</xdr:row>
      <xdr:rowOff>15240</xdr:rowOff>
    </xdr:from>
    <xdr:to>
      <xdr:col>4</xdr:col>
      <xdr:colOff>320040</xdr:colOff>
      <xdr:row>33</xdr:row>
      <xdr:rowOff>205740</xdr:rowOff>
    </xdr:to>
    <xdr:pic>
      <xdr:nvPicPr>
        <xdr:cNvPr id="1091" name="Picture 67" descr="NED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2567940" y="841248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53</xdr:row>
      <xdr:rowOff>15240</xdr:rowOff>
    </xdr:from>
    <xdr:to>
      <xdr:col>4</xdr:col>
      <xdr:colOff>320040</xdr:colOff>
      <xdr:row>53</xdr:row>
      <xdr:rowOff>205740</xdr:rowOff>
    </xdr:to>
    <xdr:pic>
      <xdr:nvPicPr>
        <xdr:cNvPr id="1092" name="Picture 68" descr="NED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2567940" y="1291590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34</xdr:row>
      <xdr:rowOff>30480</xdr:rowOff>
    </xdr:from>
    <xdr:to>
      <xdr:col>9</xdr:col>
      <xdr:colOff>327660</xdr:colOff>
      <xdr:row>34</xdr:row>
      <xdr:rowOff>220980</xdr:rowOff>
    </xdr:to>
    <xdr:pic>
      <xdr:nvPicPr>
        <xdr:cNvPr id="1093" name="Picture 69" descr="DEN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5615940" y="864870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52</xdr:row>
      <xdr:rowOff>30480</xdr:rowOff>
    </xdr:from>
    <xdr:to>
      <xdr:col>4</xdr:col>
      <xdr:colOff>327660</xdr:colOff>
      <xdr:row>53</xdr:row>
      <xdr:rowOff>0</xdr:rowOff>
    </xdr:to>
    <xdr:pic>
      <xdr:nvPicPr>
        <xdr:cNvPr id="1094" name="Picture 70" descr="DEN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2583180" y="1271016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35</xdr:row>
      <xdr:rowOff>7620</xdr:rowOff>
    </xdr:from>
    <xdr:to>
      <xdr:col>4</xdr:col>
      <xdr:colOff>327660</xdr:colOff>
      <xdr:row>35</xdr:row>
      <xdr:rowOff>198120</xdr:rowOff>
    </xdr:to>
    <xdr:pic>
      <xdr:nvPicPr>
        <xdr:cNvPr id="1095" name="Picture 71" descr="SVK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/>
        <a:srcRect/>
        <a:stretch>
          <a:fillRect/>
        </a:stretch>
      </xdr:blipFill>
      <xdr:spPr bwMode="auto">
        <a:xfrm>
          <a:off x="2583180" y="887730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50</xdr:row>
      <xdr:rowOff>7620</xdr:rowOff>
    </xdr:from>
    <xdr:to>
      <xdr:col>9</xdr:col>
      <xdr:colOff>327660</xdr:colOff>
      <xdr:row>50</xdr:row>
      <xdr:rowOff>198120</xdr:rowOff>
    </xdr:to>
    <xdr:pic>
      <xdr:nvPicPr>
        <xdr:cNvPr id="1096" name="Picture 72" descr="SVK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/>
        <a:srcRect/>
        <a:stretch>
          <a:fillRect/>
        </a:stretch>
      </xdr:blipFill>
      <xdr:spPr bwMode="auto">
        <a:xfrm>
          <a:off x="5615940" y="1224534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33</xdr:row>
      <xdr:rowOff>30480</xdr:rowOff>
    </xdr:from>
    <xdr:to>
      <xdr:col>9</xdr:col>
      <xdr:colOff>320040</xdr:colOff>
      <xdr:row>33</xdr:row>
      <xdr:rowOff>198120</xdr:rowOff>
    </xdr:to>
    <xdr:pic>
      <xdr:nvPicPr>
        <xdr:cNvPr id="1097" name="Picture 73" descr="JPN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/>
        <a:srcRect/>
        <a:stretch>
          <a:fillRect/>
        </a:stretch>
      </xdr:blipFill>
      <xdr:spPr bwMode="auto">
        <a:xfrm>
          <a:off x="5600700" y="8427720"/>
          <a:ext cx="312420" cy="16764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52</xdr:row>
      <xdr:rowOff>30480</xdr:rowOff>
    </xdr:from>
    <xdr:to>
      <xdr:col>9</xdr:col>
      <xdr:colOff>320040</xdr:colOff>
      <xdr:row>52</xdr:row>
      <xdr:rowOff>198120</xdr:rowOff>
    </xdr:to>
    <xdr:pic>
      <xdr:nvPicPr>
        <xdr:cNvPr id="1098" name="Picture 74" descr="JPN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/>
        <a:srcRect/>
        <a:stretch>
          <a:fillRect/>
        </a:stretch>
      </xdr:blipFill>
      <xdr:spPr bwMode="auto">
        <a:xfrm>
          <a:off x="5600700" y="12710160"/>
          <a:ext cx="312420" cy="16764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36</xdr:row>
      <xdr:rowOff>15240</xdr:rowOff>
    </xdr:from>
    <xdr:to>
      <xdr:col>9</xdr:col>
      <xdr:colOff>327660</xdr:colOff>
      <xdr:row>36</xdr:row>
      <xdr:rowOff>205740</xdr:rowOff>
    </xdr:to>
    <xdr:pic>
      <xdr:nvPicPr>
        <xdr:cNvPr id="1099" name="Picture 75" descr="NZL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/>
        <a:srcRect/>
        <a:stretch>
          <a:fillRect/>
        </a:stretch>
      </xdr:blipFill>
      <xdr:spPr bwMode="auto">
        <a:xfrm>
          <a:off x="5615940" y="911352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51</xdr:row>
      <xdr:rowOff>15240</xdr:rowOff>
    </xdr:from>
    <xdr:to>
      <xdr:col>9</xdr:col>
      <xdr:colOff>327660</xdr:colOff>
      <xdr:row>51</xdr:row>
      <xdr:rowOff>205740</xdr:rowOff>
    </xdr:to>
    <xdr:pic>
      <xdr:nvPicPr>
        <xdr:cNvPr id="1100" name="Picture 76" descr="NZL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/>
        <a:srcRect/>
        <a:stretch>
          <a:fillRect/>
        </a:stretch>
      </xdr:blipFill>
      <xdr:spPr bwMode="auto">
        <a:xfrm>
          <a:off x="5615940" y="1247394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32</xdr:row>
      <xdr:rowOff>15240</xdr:rowOff>
    </xdr:from>
    <xdr:to>
      <xdr:col>4</xdr:col>
      <xdr:colOff>327660</xdr:colOff>
      <xdr:row>33</xdr:row>
      <xdr:rowOff>0</xdr:rowOff>
    </xdr:to>
    <xdr:pic>
      <xdr:nvPicPr>
        <xdr:cNvPr id="1101" name="Picture 77" descr="GH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2583180" y="8191500"/>
          <a:ext cx="304800" cy="20574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48</xdr:row>
      <xdr:rowOff>15240</xdr:rowOff>
    </xdr:from>
    <xdr:to>
      <xdr:col>9</xdr:col>
      <xdr:colOff>327660</xdr:colOff>
      <xdr:row>48</xdr:row>
      <xdr:rowOff>205740</xdr:rowOff>
    </xdr:to>
    <xdr:pic>
      <xdr:nvPicPr>
        <xdr:cNvPr id="1102" name="Picture 78" descr="GH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5615940" y="1178052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56</xdr:row>
      <xdr:rowOff>30480</xdr:rowOff>
    </xdr:from>
    <xdr:to>
      <xdr:col>4</xdr:col>
      <xdr:colOff>312420</xdr:colOff>
      <xdr:row>57</xdr:row>
      <xdr:rowOff>0</xdr:rowOff>
    </xdr:to>
    <xdr:pic>
      <xdr:nvPicPr>
        <xdr:cNvPr id="1103" name="Picture 79" descr="CHI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/>
        <a:srcRect/>
        <a:stretch>
          <a:fillRect/>
        </a:stretch>
      </xdr:blipFill>
      <xdr:spPr bwMode="auto">
        <a:xfrm>
          <a:off x="2583180" y="13594080"/>
          <a:ext cx="28956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39</xdr:row>
      <xdr:rowOff>30480</xdr:rowOff>
    </xdr:from>
    <xdr:to>
      <xdr:col>9</xdr:col>
      <xdr:colOff>320040</xdr:colOff>
      <xdr:row>39</xdr:row>
      <xdr:rowOff>213360</xdr:rowOff>
    </xdr:to>
    <xdr:pic>
      <xdr:nvPicPr>
        <xdr:cNvPr id="1104" name="Picture 80" descr="CHI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/>
        <a:srcRect/>
        <a:stretch>
          <a:fillRect/>
        </a:stretch>
      </xdr:blipFill>
      <xdr:spPr bwMode="auto">
        <a:xfrm>
          <a:off x="5615940" y="9791700"/>
          <a:ext cx="297180" cy="18288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22860</xdr:colOff>
      <xdr:row>38</xdr:row>
      <xdr:rowOff>15240</xdr:rowOff>
    </xdr:from>
    <xdr:to>
      <xdr:col>4</xdr:col>
      <xdr:colOff>327660</xdr:colOff>
      <xdr:row>38</xdr:row>
      <xdr:rowOff>205740</xdr:rowOff>
    </xdr:to>
    <xdr:pic>
      <xdr:nvPicPr>
        <xdr:cNvPr id="1105" name="Picture 81" descr="PRK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2583180" y="955548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55</xdr:row>
      <xdr:rowOff>15240</xdr:rowOff>
    </xdr:from>
    <xdr:to>
      <xdr:col>9</xdr:col>
      <xdr:colOff>327660</xdr:colOff>
      <xdr:row>55</xdr:row>
      <xdr:rowOff>205740</xdr:rowOff>
    </xdr:to>
    <xdr:pic>
      <xdr:nvPicPr>
        <xdr:cNvPr id="1106" name="Picture 82" descr="PRK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5615940" y="1335786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37</xdr:row>
      <xdr:rowOff>15240</xdr:rowOff>
    </xdr:from>
    <xdr:to>
      <xdr:col>4</xdr:col>
      <xdr:colOff>320040</xdr:colOff>
      <xdr:row>37</xdr:row>
      <xdr:rowOff>205740</xdr:rowOff>
    </xdr:to>
    <xdr:pic>
      <xdr:nvPicPr>
        <xdr:cNvPr id="1107" name="Picture 83" descr="CIV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/>
        <a:srcRect/>
        <a:stretch>
          <a:fillRect/>
        </a:stretch>
      </xdr:blipFill>
      <xdr:spPr bwMode="auto">
        <a:xfrm>
          <a:off x="2567940" y="933450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55</xdr:row>
      <xdr:rowOff>15240</xdr:rowOff>
    </xdr:from>
    <xdr:to>
      <xdr:col>4</xdr:col>
      <xdr:colOff>320040</xdr:colOff>
      <xdr:row>55</xdr:row>
      <xdr:rowOff>205740</xdr:rowOff>
    </xdr:to>
    <xdr:pic>
      <xdr:nvPicPr>
        <xdr:cNvPr id="1108" name="Picture 84" descr="CIV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/>
        <a:srcRect/>
        <a:stretch>
          <a:fillRect/>
        </a:stretch>
      </xdr:blipFill>
      <xdr:spPr bwMode="auto">
        <a:xfrm>
          <a:off x="2567940" y="1335786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37</xdr:row>
      <xdr:rowOff>15240</xdr:rowOff>
    </xdr:from>
    <xdr:to>
      <xdr:col>10</xdr:col>
      <xdr:colOff>0</xdr:colOff>
      <xdr:row>37</xdr:row>
      <xdr:rowOff>205740</xdr:rowOff>
    </xdr:to>
    <xdr:pic>
      <xdr:nvPicPr>
        <xdr:cNvPr id="1109" name="Picture 85" descr="BRA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/>
        <a:srcRect/>
        <a:stretch>
          <a:fillRect/>
        </a:stretch>
      </xdr:blipFill>
      <xdr:spPr bwMode="auto">
        <a:xfrm>
          <a:off x="5600700" y="9334500"/>
          <a:ext cx="32766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54</xdr:row>
      <xdr:rowOff>15240</xdr:rowOff>
    </xdr:from>
    <xdr:to>
      <xdr:col>10</xdr:col>
      <xdr:colOff>0</xdr:colOff>
      <xdr:row>54</xdr:row>
      <xdr:rowOff>205740</xdr:rowOff>
    </xdr:to>
    <xdr:pic>
      <xdr:nvPicPr>
        <xdr:cNvPr id="1110" name="Picture 86" descr="BRA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/>
        <a:srcRect/>
        <a:stretch>
          <a:fillRect/>
        </a:stretch>
      </xdr:blipFill>
      <xdr:spPr bwMode="auto">
        <a:xfrm>
          <a:off x="5600700" y="13136880"/>
          <a:ext cx="32766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39</xdr:row>
      <xdr:rowOff>30480</xdr:rowOff>
    </xdr:from>
    <xdr:to>
      <xdr:col>4</xdr:col>
      <xdr:colOff>320040</xdr:colOff>
      <xdr:row>39</xdr:row>
      <xdr:rowOff>213360</xdr:rowOff>
    </xdr:to>
    <xdr:pic>
      <xdr:nvPicPr>
        <xdr:cNvPr id="1111" name="Picture 87" descr="SUI"/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/>
        <a:srcRect/>
        <a:stretch>
          <a:fillRect/>
        </a:stretch>
      </xdr:blipFill>
      <xdr:spPr bwMode="auto">
        <a:xfrm>
          <a:off x="2567940" y="9791700"/>
          <a:ext cx="312420" cy="18288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57</xdr:row>
      <xdr:rowOff>30480</xdr:rowOff>
    </xdr:from>
    <xdr:to>
      <xdr:col>9</xdr:col>
      <xdr:colOff>327660</xdr:colOff>
      <xdr:row>58</xdr:row>
      <xdr:rowOff>0</xdr:rowOff>
    </xdr:to>
    <xdr:pic>
      <xdr:nvPicPr>
        <xdr:cNvPr id="1112" name="Picture 88" descr="SUI"/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/>
        <a:srcRect/>
        <a:stretch>
          <a:fillRect/>
        </a:stretch>
      </xdr:blipFill>
      <xdr:spPr bwMode="auto">
        <a:xfrm>
          <a:off x="5600700" y="13815060"/>
          <a:ext cx="32004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40</xdr:row>
      <xdr:rowOff>30480</xdr:rowOff>
    </xdr:from>
    <xdr:to>
      <xdr:col>9</xdr:col>
      <xdr:colOff>327660</xdr:colOff>
      <xdr:row>41</xdr:row>
      <xdr:rowOff>0</xdr:rowOff>
    </xdr:to>
    <xdr:pic>
      <xdr:nvPicPr>
        <xdr:cNvPr id="1113" name="Picture 89" descr="ESP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/>
        <a:srcRect/>
        <a:stretch>
          <a:fillRect/>
        </a:stretch>
      </xdr:blipFill>
      <xdr:spPr bwMode="auto">
        <a:xfrm>
          <a:off x="5615940" y="1001268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56</xdr:row>
      <xdr:rowOff>30480</xdr:rowOff>
    </xdr:from>
    <xdr:to>
      <xdr:col>9</xdr:col>
      <xdr:colOff>327660</xdr:colOff>
      <xdr:row>57</xdr:row>
      <xdr:rowOff>0</xdr:rowOff>
    </xdr:to>
    <xdr:pic>
      <xdr:nvPicPr>
        <xdr:cNvPr id="1114" name="Picture 90" descr="ESP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/>
        <a:srcRect/>
        <a:stretch>
          <a:fillRect/>
        </a:stretch>
      </xdr:blipFill>
      <xdr:spPr bwMode="auto">
        <a:xfrm>
          <a:off x="5615940" y="13594080"/>
          <a:ext cx="30480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40</xdr:row>
      <xdr:rowOff>15240</xdr:rowOff>
    </xdr:from>
    <xdr:to>
      <xdr:col>4</xdr:col>
      <xdr:colOff>320040</xdr:colOff>
      <xdr:row>40</xdr:row>
      <xdr:rowOff>205740</xdr:rowOff>
    </xdr:to>
    <xdr:pic>
      <xdr:nvPicPr>
        <xdr:cNvPr id="1115" name="Picture 91" descr="HON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2567940" y="999744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57</xdr:row>
      <xdr:rowOff>15240</xdr:rowOff>
    </xdr:from>
    <xdr:to>
      <xdr:col>4</xdr:col>
      <xdr:colOff>327660</xdr:colOff>
      <xdr:row>58</xdr:row>
      <xdr:rowOff>0</xdr:rowOff>
    </xdr:to>
    <xdr:pic>
      <xdr:nvPicPr>
        <xdr:cNvPr id="1116" name="Picture 92" descr="HON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2567940" y="13799820"/>
          <a:ext cx="320040" cy="20574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30480</xdr:colOff>
      <xdr:row>36</xdr:row>
      <xdr:rowOff>15240</xdr:rowOff>
    </xdr:from>
    <xdr:to>
      <xdr:col>4</xdr:col>
      <xdr:colOff>320040</xdr:colOff>
      <xdr:row>36</xdr:row>
      <xdr:rowOff>205740</xdr:rowOff>
    </xdr:to>
    <xdr:pic>
      <xdr:nvPicPr>
        <xdr:cNvPr id="1117" name="Picture 93" descr="ITA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/>
        <a:srcRect/>
        <a:stretch>
          <a:fillRect/>
        </a:stretch>
      </xdr:blipFill>
      <xdr:spPr bwMode="auto">
        <a:xfrm>
          <a:off x="2590800" y="9113520"/>
          <a:ext cx="28956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30480</xdr:colOff>
      <xdr:row>50</xdr:row>
      <xdr:rowOff>15240</xdr:rowOff>
    </xdr:from>
    <xdr:to>
      <xdr:col>4</xdr:col>
      <xdr:colOff>320040</xdr:colOff>
      <xdr:row>50</xdr:row>
      <xdr:rowOff>205740</xdr:rowOff>
    </xdr:to>
    <xdr:pic>
      <xdr:nvPicPr>
        <xdr:cNvPr id="1118" name="Picture 94" descr="ITA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/>
        <a:srcRect/>
        <a:stretch>
          <a:fillRect/>
        </a:stretch>
      </xdr:blipFill>
      <xdr:spPr bwMode="auto">
        <a:xfrm>
          <a:off x="2590800" y="12252960"/>
          <a:ext cx="289560" cy="1905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49</xdr:row>
      <xdr:rowOff>22860</xdr:rowOff>
    </xdr:from>
    <xdr:to>
      <xdr:col>9</xdr:col>
      <xdr:colOff>320040</xdr:colOff>
      <xdr:row>49</xdr:row>
      <xdr:rowOff>220980</xdr:rowOff>
    </xdr:to>
    <xdr:pic>
      <xdr:nvPicPr>
        <xdr:cNvPr id="1119" name="Picture 95" descr="SRB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5600700" y="12009120"/>
          <a:ext cx="312420" cy="19812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22860</xdr:colOff>
      <xdr:row>32</xdr:row>
      <xdr:rowOff>15240</xdr:rowOff>
    </xdr:from>
    <xdr:to>
      <xdr:col>9</xdr:col>
      <xdr:colOff>327660</xdr:colOff>
      <xdr:row>33</xdr:row>
      <xdr:rowOff>0</xdr:rowOff>
    </xdr:to>
    <xdr:pic>
      <xdr:nvPicPr>
        <xdr:cNvPr id="1120" name="Picture 96" descr="AUS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5615940" y="8191500"/>
          <a:ext cx="304800" cy="20574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29</xdr:row>
      <xdr:rowOff>15240</xdr:rowOff>
    </xdr:from>
    <xdr:to>
      <xdr:col>9</xdr:col>
      <xdr:colOff>327660</xdr:colOff>
      <xdr:row>30</xdr:row>
      <xdr:rowOff>0</xdr:rowOff>
    </xdr:to>
    <xdr:pic>
      <xdr:nvPicPr>
        <xdr:cNvPr id="1121" name="Picture 97" descr="SRB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5600700" y="7528560"/>
          <a:ext cx="320040" cy="20574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7620</xdr:colOff>
      <xdr:row>35</xdr:row>
      <xdr:rowOff>15240</xdr:rowOff>
    </xdr:from>
    <xdr:to>
      <xdr:col>9</xdr:col>
      <xdr:colOff>320040</xdr:colOff>
      <xdr:row>35</xdr:row>
      <xdr:rowOff>205740</xdr:rowOff>
    </xdr:to>
    <xdr:pic>
      <xdr:nvPicPr>
        <xdr:cNvPr id="1122" name="Picture 98" descr="PA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/>
        <a:srcRect/>
        <a:stretch>
          <a:fillRect/>
        </a:stretch>
      </xdr:blipFill>
      <xdr:spPr bwMode="auto">
        <a:xfrm>
          <a:off x="5600700" y="888492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7620</xdr:colOff>
      <xdr:row>51</xdr:row>
      <xdr:rowOff>15240</xdr:rowOff>
    </xdr:from>
    <xdr:to>
      <xdr:col>4</xdr:col>
      <xdr:colOff>320040</xdr:colOff>
      <xdr:row>51</xdr:row>
      <xdr:rowOff>205740</xdr:rowOff>
    </xdr:to>
    <xdr:pic>
      <xdr:nvPicPr>
        <xdr:cNvPr id="1123" name="Picture 99" descr="PA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/>
        <a:srcRect/>
        <a:stretch>
          <a:fillRect/>
        </a:stretch>
      </xdr:blipFill>
      <xdr:spPr bwMode="auto">
        <a:xfrm>
          <a:off x="2567940" y="12473940"/>
          <a:ext cx="312420" cy="19050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129540</xdr:colOff>
      <xdr:row>0</xdr:row>
      <xdr:rowOff>30480</xdr:rowOff>
    </xdr:from>
    <xdr:to>
      <xdr:col>2</xdr:col>
      <xdr:colOff>403860</xdr:colOff>
      <xdr:row>4</xdr:row>
      <xdr:rowOff>157480</xdr:rowOff>
    </xdr:to>
    <xdr:pic>
      <xdr:nvPicPr>
        <xdr:cNvPr id="1133" name="Picture 109" descr="untitled-2"/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/>
        <a:srcRect/>
        <a:stretch>
          <a:fillRect/>
        </a:stretch>
      </xdr:blipFill>
      <xdr:spPr bwMode="auto">
        <a:xfrm>
          <a:off x="403860" y="30480"/>
          <a:ext cx="861060" cy="1965960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Owner\Desktop\Euro2008\EURO2008-Chart-Final-Blue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uro 2008"/>
      <sheetName val="SummarySheet"/>
      <sheetName val="Leaderboards"/>
      <sheetName val="Predictions 1"/>
      <sheetName val="Predictions 2"/>
      <sheetName val="Group Points"/>
    </sheetNames>
    <sheetDataSet>
      <sheetData sheetId="0"/>
      <sheetData sheetId="1"/>
      <sheetData sheetId="2"/>
      <sheetData sheetId="3"/>
      <sheetData sheetId="4"/>
      <sheetData sheetId="5">
        <row r="4">
          <cell r="B4">
            <v>3</v>
          </cell>
        </row>
        <row r="5">
          <cell r="B5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V90"/>
  <sheetViews>
    <sheetView tabSelected="1" zoomScale="55" zoomScaleNormal="55" zoomScaleSheetLayoutView="75" workbookViewId="0">
      <selection activeCell="A73" sqref="A73"/>
    </sheetView>
  </sheetViews>
  <sheetFormatPr defaultColWidth="9.109375" defaultRowHeight="12.6"/>
  <cols>
    <col min="1" max="1" width="4" style="5" customWidth="1"/>
    <col min="2" max="2" width="8.5546875" style="5" customWidth="1"/>
    <col min="3" max="3" width="15.6640625" style="5" customWidth="1"/>
    <col min="4" max="4" width="9.109375" style="5"/>
    <col min="5" max="5" width="4.88671875" style="5" customWidth="1"/>
    <col min="6" max="6" width="15.109375" style="138" bestFit="1" customWidth="1"/>
    <col min="7" max="7" width="5.109375" style="138" customWidth="1"/>
    <col min="8" max="8" width="5.109375" style="5" customWidth="1"/>
    <col min="9" max="9" width="14" style="138" customWidth="1"/>
    <col min="10" max="10" width="4.88671875" style="138" customWidth="1"/>
    <col min="11" max="11" width="2.109375" style="138" customWidth="1"/>
    <col min="12" max="13" width="4.88671875" style="138" hidden="1" customWidth="1"/>
    <col min="14" max="14" width="1.44140625" style="138" customWidth="1"/>
    <col min="15" max="15" width="14.44140625" style="5" customWidth="1"/>
    <col min="16" max="17" width="4.5546875" style="5" customWidth="1"/>
    <col min="18" max="20" width="4.5546875" style="5" hidden="1" customWidth="1"/>
    <col min="21" max="21" width="15.109375" style="5" hidden="1" customWidth="1"/>
    <col min="22" max="22" width="8.33203125" style="5" hidden="1" customWidth="1"/>
    <col min="23" max="23" width="8.109375" style="5" hidden="1" customWidth="1"/>
    <col min="24" max="24" width="8.33203125" style="5" hidden="1" customWidth="1"/>
    <col min="25" max="25" width="7.33203125" style="5" hidden="1" customWidth="1"/>
    <col min="26" max="26" width="6.44140625" style="5" hidden="1" customWidth="1"/>
    <col min="27" max="32" width="4.5546875" style="5" hidden="1" customWidth="1"/>
    <col min="33" max="33" width="5" style="5" hidden="1" customWidth="1"/>
    <col min="34" max="34" width="4.5546875" style="5" hidden="1" customWidth="1"/>
    <col min="35" max="35" width="11.33203125" style="5" hidden="1" customWidth="1"/>
    <col min="36" max="36" width="12.109375" style="5" hidden="1" customWidth="1"/>
    <col min="37" max="37" width="7.109375" style="5" hidden="1" customWidth="1"/>
    <col min="38" max="38" width="5.44140625" style="5" hidden="1" customWidth="1"/>
    <col min="39" max="39" width="4.5546875" style="5" hidden="1" customWidth="1"/>
    <col min="40" max="40" width="4.5546875" style="5" customWidth="1"/>
    <col min="41" max="41" width="15.6640625" style="5" customWidth="1"/>
    <col min="42" max="42" width="4.6640625" style="5" customWidth="1"/>
    <col min="43" max="48" width="4.33203125" style="5" customWidth="1"/>
    <col min="49" max="49" width="5.5546875" style="5" customWidth="1"/>
    <col min="50" max="50" width="3.44140625" style="7" customWidth="1"/>
    <col min="51" max="51" width="8.6640625" style="7" customWidth="1"/>
    <col min="52" max="52" width="14.5546875" style="7" customWidth="1"/>
    <col min="53" max="53" width="7.88671875" style="7" customWidth="1"/>
    <col min="54" max="54" width="10.5546875" style="7" customWidth="1"/>
    <col min="55" max="55" width="19.5546875" style="7" customWidth="1"/>
    <col min="56" max="56" width="4.5546875" style="5" bestFit="1" customWidth="1"/>
    <col min="57" max="57" width="4" style="5" customWidth="1"/>
    <col min="58" max="58" width="20.5546875" style="5" customWidth="1"/>
    <col min="59" max="59" width="12.88671875" style="15" customWidth="1"/>
    <col min="60" max="60" width="4.109375" style="5" customWidth="1"/>
    <col min="61" max="61" width="2.6640625" style="5" customWidth="1"/>
    <col min="62" max="63" width="9.109375" style="5"/>
    <col min="64" max="64" width="7.88671875" style="5" hidden="1" customWidth="1"/>
    <col min="65" max="65" width="11.6640625" style="5" hidden="1" customWidth="1"/>
    <col min="66" max="66" width="8.44140625" style="5" hidden="1" customWidth="1"/>
    <col min="67" max="16384" width="9.109375" style="5"/>
  </cols>
  <sheetData>
    <row r="1" spans="1:74" ht="13.2" thickBo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3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</row>
    <row r="2" spans="1:74" ht="48.6" customHeight="1">
      <c r="A2" s="6"/>
      <c r="B2" s="7"/>
      <c r="C2" s="7"/>
      <c r="D2" s="7"/>
      <c r="E2" s="7"/>
      <c r="F2" s="7"/>
      <c r="G2" s="7"/>
      <c r="H2" s="252" t="s">
        <v>165</v>
      </c>
      <c r="I2" s="253"/>
      <c r="J2" s="253"/>
      <c r="K2" s="253"/>
      <c r="L2" s="253"/>
      <c r="M2" s="253"/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A2" s="253"/>
      <c r="AB2" s="253"/>
      <c r="AC2" s="253"/>
      <c r="AD2" s="253"/>
      <c r="AE2" s="253"/>
      <c r="AF2" s="253"/>
      <c r="AG2" s="253"/>
      <c r="AH2" s="253"/>
      <c r="AI2" s="253"/>
      <c r="AJ2" s="253"/>
      <c r="AK2" s="253"/>
      <c r="AL2" s="253"/>
      <c r="AM2" s="253"/>
      <c r="AN2" s="253"/>
      <c r="AO2" s="253"/>
      <c r="AP2" s="253"/>
      <c r="AQ2" s="253"/>
      <c r="AR2" s="253"/>
      <c r="AS2" s="253"/>
      <c r="AT2" s="253"/>
      <c r="AU2" s="253"/>
      <c r="AV2" s="253"/>
      <c r="AW2" s="253"/>
      <c r="AX2" s="253"/>
      <c r="AY2" s="253"/>
      <c r="AZ2" s="253"/>
      <c r="BA2" s="253"/>
      <c r="BB2" s="253"/>
      <c r="BC2" s="253"/>
      <c r="BD2" s="253"/>
      <c r="BE2" s="254"/>
      <c r="BF2" s="7"/>
      <c r="BG2" s="7"/>
      <c r="BH2" s="7"/>
      <c r="BI2" s="8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</row>
    <row r="3" spans="1:74" ht="48.6" customHeight="1" thickBot="1">
      <c r="A3" s="6"/>
      <c r="B3" s="7"/>
      <c r="C3" s="7"/>
      <c r="D3" s="7"/>
      <c r="E3" s="7"/>
      <c r="F3" s="7"/>
      <c r="G3" s="9"/>
      <c r="H3" s="255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6"/>
      <c r="Z3" s="256"/>
      <c r="AA3" s="256"/>
      <c r="AB3" s="256"/>
      <c r="AC3" s="256"/>
      <c r="AD3" s="256"/>
      <c r="AE3" s="256"/>
      <c r="AF3" s="256"/>
      <c r="AG3" s="256"/>
      <c r="AH3" s="256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  <c r="BB3" s="256"/>
      <c r="BC3" s="256"/>
      <c r="BD3" s="256"/>
      <c r="BE3" s="257"/>
      <c r="BF3" s="7"/>
      <c r="BG3" s="7"/>
      <c r="BH3" s="7"/>
      <c r="BI3" s="8"/>
      <c r="BJ3" s="4"/>
      <c r="BK3" s="4"/>
      <c r="BL3" s="4"/>
      <c r="BN3" s="4"/>
      <c r="BO3" s="4"/>
      <c r="BP3" s="4"/>
      <c r="BQ3" s="4"/>
      <c r="BR3" s="4"/>
      <c r="BS3" s="4"/>
      <c r="BT3" s="4"/>
      <c r="BU3" s="4"/>
      <c r="BV3" s="4"/>
    </row>
    <row r="4" spans="1:74" ht="35.25" customHeight="1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258"/>
      <c r="AO4" s="258"/>
      <c r="AP4" s="258"/>
      <c r="AQ4" s="258"/>
      <c r="AR4" s="258"/>
      <c r="AS4" s="258"/>
      <c r="AT4" s="258"/>
      <c r="AU4" s="258"/>
      <c r="AV4" s="258"/>
      <c r="AW4" s="10"/>
      <c r="AX4" s="10"/>
      <c r="AY4" s="10"/>
      <c r="AZ4" s="10"/>
      <c r="BD4" s="7"/>
      <c r="BE4" s="7"/>
      <c r="BF4" s="7"/>
      <c r="BG4" s="7"/>
      <c r="BH4" s="7"/>
      <c r="BI4" s="8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</row>
    <row r="5" spans="1:74" ht="46.5" customHeight="1" thickBot="1">
      <c r="A5" s="6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BD5" s="7"/>
      <c r="BE5" s="11"/>
      <c r="BF5" s="7"/>
      <c r="BG5" s="7"/>
      <c r="BH5" s="7"/>
      <c r="BI5" s="8"/>
      <c r="BJ5" s="4"/>
      <c r="BK5" s="4"/>
      <c r="BL5" s="4"/>
      <c r="BM5" s="12"/>
      <c r="BN5" s="4"/>
      <c r="BO5" s="4"/>
      <c r="BP5" s="4"/>
      <c r="BQ5" s="4"/>
      <c r="BR5" s="4"/>
      <c r="BS5" s="4"/>
      <c r="BT5" s="4"/>
      <c r="BU5" s="4"/>
      <c r="BV5" s="4"/>
    </row>
    <row r="6" spans="1:74" ht="18" customHeight="1" thickBot="1">
      <c r="A6" s="6"/>
      <c r="B6" s="259" t="s">
        <v>0</v>
      </c>
      <c r="C6" s="260"/>
      <c r="D6" s="260"/>
      <c r="E6" s="260"/>
      <c r="F6" s="260"/>
      <c r="G6" s="260"/>
      <c r="H6" s="260"/>
      <c r="I6" s="260"/>
      <c r="J6" s="260"/>
      <c r="K6" s="260"/>
      <c r="L6" s="260"/>
      <c r="M6" s="260"/>
      <c r="N6" s="260"/>
      <c r="O6" s="260"/>
      <c r="P6" s="260"/>
      <c r="Q6" s="261"/>
      <c r="R6" s="13"/>
      <c r="S6" s="14"/>
      <c r="T6" s="15"/>
      <c r="U6" s="14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4"/>
      <c r="AN6" s="7"/>
      <c r="AO6" s="16"/>
      <c r="AP6" s="17"/>
      <c r="AQ6" s="17"/>
      <c r="AR6" s="17" t="s">
        <v>1</v>
      </c>
      <c r="AS6" s="17"/>
      <c r="AT6" s="17"/>
      <c r="AU6" s="17"/>
      <c r="AV6" s="17"/>
      <c r="AW6" s="18"/>
      <c r="AX6" s="11"/>
      <c r="AY6" s="19"/>
      <c r="AZ6" s="20"/>
      <c r="BA6" s="21"/>
      <c r="BB6" s="21"/>
      <c r="BC6" s="21" t="s">
        <v>2</v>
      </c>
      <c r="BD6" s="22"/>
      <c r="BE6" s="21"/>
      <c r="BF6" s="21"/>
      <c r="BG6" s="21"/>
      <c r="BH6" s="23"/>
      <c r="BI6" s="8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</row>
    <row r="7" spans="1:74" ht="16.8" thickBot="1">
      <c r="A7" s="6"/>
      <c r="B7" s="24" t="s">
        <v>3</v>
      </c>
      <c r="C7" s="25" t="s">
        <v>4</v>
      </c>
      <c r="D7" s="25" t="s">
        <v>5</v>
      </c>
      <c r="E7" s="25"/>
      <c r="F7" s="237" t="s">
        <v>6</v>
      </c>
      <c r="G7" s="237"/>
      <c r="H7" s="237"/>
      <c r="I7" s="237"/>
      <c r="J7" s="26"/>
      <c r="K7" s="26"/>
      <c r="L7" s="27" t="s">
        <v>7</v>
      </c>
      <c r="M7" s="27" t="s">
        <v>8</v>
      </c>
      <c r="N7" s="26"/>
      <c r="O7" s="28" t="s">
        <v>9</v>
      </c>
      <c r="P7" s="262" t="s">
        <v>10</v>
      </c>
      <c r="Q7" s="263"/>
      <c r="R7" s="29"/>
      <c r="S7" s="14"/>
      <c r="T7" s="15"/>
      <c r="U7" s="30" t="s">
        <v>11</v>
      </c>
      <c r="V7" s="31" t="str">
        <f>U8</f>
        <v>South Africa</v>
      </c>
      <c r="W7" s="31" t="str">
        <f>U9</f>
        <v>Mexico</v>
      </c>
      <c r="X7" s="31" t="str">
        <f>U10</f>
        <v>Uruguay</v>
      </c>
      <c r="Y7" s="31" t="str">
        <f>U11</f>
        <v>France</v>
      </c>
      <c r="Z7" s="32" t="s">
        <v>12</v>
      </c>
      <c r="AA7" s="33" t="s">
        <v>13</v>
      </c>
      <c r="AB7" s="33" t="s">
        <v>14</v>
      </c>
      <c r="AC7" s="33" t="s">
        <v>15</v>
      </c>
      <c r="AD7" s="33" t="s">
        <v>16</v>
      </c>
      <c r="AE7" s="33" t="s">
        <v>17</v>
      </c>
      <c r="AF7" s="33" t="s">
        <v>18</v>
      </c>
      <c r="AG7" s="34" t="s">
        <v>19</v>
      </c>
      <c r="AH7" s="15"/>
      <c r="AI7" s="35" t="s">
        <v>20</v>
      </c>
      <c r="AJ7" s="35" t="s">
        <v>21</v>
      </c>
      <c r="AK7" s="35" t="s">
        <v>22</v>
      </c>
      <c r="AL7" s="15"/>
      <c r="AM7" s="36" t="s">
        <v>23</v>
      </c>
      <c r="AN7" s="7"/>
      <c r="AO7" s="37"/>
      <c r="AP7" s="38" t="s">
        <v>13</v>
      </c>
      <c r="AQ7" s="39" t="s">
        <v>14</v>
      </c>
      <c r="AR7" s="39" t="s">
        <v>15</v>
      </c>
      <c r="AS7" s="39" t="s">
        <v>16</v>
      </c>
      <c r="AT7" s="39" t="s">
        <v>17</v>
      </c>
      <c r="AU7" s="39" t="s">
        <v>18</v>
      </c>
      <c r="AV7" s="39" t="s">
        <v>19</v>
      </c>
      <c r="AW7" s="40" t="s">
        <v>24</v>
      </c>
      <c r="AY7" s="41" t="s">
        <v>3</v>
      </c>
      <c r="AZ7" s="42" t="s">
        <v>4</v>
      </c>
      <c r="BA7" s="43" t="s">
        <v>5</v>
      </c>
      <c r="BB7" s="44" t="s">
        <v>25</v>
      </c>
      <c r="BC7" s="237" t="s">
        <v>26</v>
      </c>
      <c r="BD7" s="237"/>
      <c r="BE7" s="237"/>
      <c r="BF7" s="237"/>
      <c r="BG7" s="42" t="s">
        <v>9</v>
      </c>
      <c r="BH7" s="45"/>
      <c r="BI7" s="8"/>
      <c r="BJ7" s="4"/>
      <c r="BK7" s="4"/>
      <c r="BL7" s="46" t="s">
        <v>27</v>
      </c>
      <c r="BM7" s="47" t="s">
        <v>28</v>
      </c>
      <c r="BN7" s="5" t="str">
        <f ca="1">AO8</f>
        <v>South Africa</v>
      </c>
      <c r="BO7" s="4"/>
      <c r="BP7" s="4"/>
      <c r="BQ7" s="4"/>
      <c r="BR7" s="4"/>
      <c r="BS7" s="4"/>
      <c r="BT7" s="4"/>
      <c r="BU7" s="4"/>
      <c r="BV7" s="4"/>
    </row>
    <row r="8" spans="1:74" ht="15.75" customHeight="1" thickBot="1">
      <c r="A8" s="6"/>
      <c r="B8" s="48" t="s">
        <v>29</v>
      </c>
      <c r="C8" s="49"/>
      <c r="D8" s="49"/>
      <c r="E8" s="49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1"/>
      <c r="R8" s="52"/>
      <c r="S8" s="14"/>
      <c r="T8" s="15"/>
      <c r="U8" s="53" t="str">
        <f>F9</f>
        <v>South Africa</v>
      </c>
      <c r="V8" s="54"/>
      <c r="W8" s="55" t="str">
        <f>IF(G9="","",IF(G9=H9,1,IF(G9&gt;H9,3,IF(G9&lt;H9,0,))))</f>
        <v/>
      </c>
      <c r="X8" s="55" t="str">
        <f>IF(G26="","",IF(G26=H26,1,IF(G26&gt;H26,3,IF(G26&lt;H26,0,))))</f>
        <v/>
      </c>
      <c r="Y8" s="55" t="str">
        <f>IF(G44="","",IF(G44=H44,1,IF(G44&gt;H44,3,IF(G44&lt;H44,0,))))</f>
        <v/>
      </c>
      <c r="Z8" s="56">
        <f>SUM(V8:Y8)</f>
        <v>0</v>
      </c>
      <c r="AA8" s="57">
        <f>COUNT(V8:Y8)</f>
        <v>0</v>
      </c>
      <c r="AB8" s="58">
        <f>COUNTIF(V8:Y8,3)</f>
        <v>0</v>
      </c>
      <c r="AC8" s="59">
        <f>COUNTIF(V8:Y8,0)</f>
        <v>0</v>
      </c>
      <c r="AD8" s="59">
        <f>COUNTIF(V8:Y8,1)</f>
        <v>0</v>
      </c>
      <c r="AE8" s="59">
        <f>SUM(G9+G44+G26)</f>
        <v>0</v>
      </c>
      <c r="AF8" s="59">
        <f>H9+H44+H26</f>
        <v>0</v>
      </c>
      <c r="AG8" s="34">
        <f>AE8-AF8</f>
        <v>0</v>
      </c>
      <c r="AH8" s="52"/>
      <c r="AI8" s="60">
        <v>0.1</v>
      </c>
      <c r="AJ8" s="61">
        <f>(Z8*10000)+(AG8*100)+(AE8*10)+AI8</f>
        <v>0.1</v>
      </c>
      <c r="AK8" s="62">
        <f>RANK(AJ8,AJ$7:AJ$11)</f>
        <v>1</v>
      </c>
      <c r="AL8" s="15"/>
      <c r="AM8" s="36">
        <v>1</v>
      </c>
      <c r="AN8" s="7"/>
      <c r="AO8" s="63" t="str">
        <f ca="1">OFFSET(U$7,MATCH(AM8,$AK$8:$AK$11,0),0)</f>
        <v>South Africa</v>
      </c>
      <c r="AP8" s="64">
        <f ca="1">OFFSET(AA$7,MATCH(AM8,$AK$8:$AK$11,0),0)</f>
        <v>0</v>
      </c>
      <c r="AQ8" s="65">
        <f ca="1">OFFSET(AB$7,MATCH(AM8,$AK$8:$AK$11,0),0)</f>
        <v>0</v>
      </c>
      <c r="AR8" s="65">
        <f ca="1">OFFSET(AC$7,MATCH(AM8,$AK$8:$AK$11,0),0)</f>
        <v>0</v>
      </c>
      <c r="AS8" s="65">
        <f ca="1">OFFSET(AD$7,MATCH(AM8,$AK$8:$AK$11,0),0)</f>
        <v>0</v>
      </c>
      <c r="AT8" s="65">
        <f ca="1">OFFSET(AE$7,MATCH(AM8,$AK$8:$AK$11,0),0)</f>
        <v>0</v>
      </c>
      <c r="AU8" s="65">
        <f ca="1">OFFSET(AF$7,MATCH(AM8,$AK$8:$AK$11,0),0)</f>
        <v>0</v>
      </c>
      <c r="AV8" s="65">
        <f ca="1">OFFSET(AG$7,MATCH(AM8,$AK$8:$AK$11,0),0)</f>
        <v>0</v>
      </c>
      <c r="AW8" s="66">
        <f ca="1">OFFSET(Z$7,MATCH(AM8,$AK$8:$AK$11,0),0)</f>
        <v>0</v>
      </c>
      <c r="AY8" s="67"/>
      <c r="AZ8" s="68"/>
      <c r="BA8" s="68"/>
      <c r="BB8" s="68"/>
      <c r="BC8" s="68"/>
      <c r="BD8" s="68"/>
      <c r="BE8" s="68"/>
      <c r="BF8" s="68"/>
      <c r="BG8" s="68"/>
      <c r="BH8" s="69"/>
      <c r="BI8" s="8"/>
      <c r="BJ8" s="4"/>
      <c r="BK8" s="4"/>
      <c r="BL8" s="70" t="s">
        <v>30</v>
      </c>
      <c r="BM8" s="71" t="s">
        <v>31</v>
      </c>
      <c r="BN8" s="5" t="str">
        <f ca="1">AO9</f>
        <v>Mexico</v>
      </c>
      <c r="BO8" s="4"/>
      <c r="BP8" s="4"/>
      <c r="BQ8" s="4"/>
      <c r="BR8" s="4"/>
      <c r="BS8" s="4"/>
      <c r="BT8" s="4"/>
      <c r="BU8" s="4"/>
      <c r="BV8" s="4"/>
    </row>
    <row r="9" spans="1:74" ht="17.399999999999999" customHeight="1" thickBot="1">
      <c r="A9" s="6"/>
      <c r="B9" s="72">
        <v>1</v>
      </c>
      <c r="C9" s="73" t="s">
        <v>32</v>
      </c>
      <c r="D9" s="74">
        <v>0.66666666666666663</v>
      </c>
      <c r="E9" s="75"/>
      <c r="F9" s="76" t="s">
        <v>33</v>
      </c>
      <c r="G9" s="145"/>
      <c r="H9" s="77"/>
      <c r="I9" s="78" t="s">
        <v>34</v>
      </c>
      <c r="J9" s="78"/>
      <c r="K9" s="78"/>
      <c r="L9" s="79">
        <v>3</v>
      </c>
      <c r="M9" s="80">
        <v>0</v>
      </c>
      <c r="N9" s="78"/>
      <c r="O9" s="81" t="s">
        <v>35</v>
      </c>
      <c r="P9" s="82" t="s">
        <v>18</v>
      </c>
      <c r="Q9" s="83"/>
      <c r="R9" s="52"/>
      <c r="S9" s="14"/>
      <c r="T9" s="15"/>
      <c r="U9" s="84" t="str">
        <f>I9</f>
        <v>Mexico</v>
      </c>
      <c r="V9" s="85" t="str">
        <f>IF(W8="","",IF(W8=0,3,IF(W8=1,1,IF(W8=3,0,))))</f>
        <v/>
      </c>
      <c r="W9" s="54"/>
      <c r="X9" s="55" t="str">
        <f>IF(G43="","",IF(G43=H43,1,IF(G43&gt;H43,3,IF(G43&lt;H43,0,))))</f>
        <v/>
      </c>
      <c r="Y9" s="85" t="str">
        <f>IF(W11="","",IF(W11=0,3,IF(W11=1,1,IF(W11=3,0,))))</f>
        <v/>
      </c>
      <c r="Z9" s="56">
        <f>SUM(V9:Y9)</f>
        <v>0</v>
      </c>
      <c r="AA9" s="57">
        <f>COUNT(V9:Y9)</f>
        <v>0</v>
      </c>
      <c r="AB9" s="58">
        <f>COUNTIF(V9:Y9,3)</f>
        <v>0</v>
      </c>
      <c r="AC9" s="59">
        <f>COUNTIF(V9:Y9,0)</f>
        <v>0</v>
      </c>
      <c r="AD9" s="59">
        <f>COUNTIF(V9:Y9,1)</f>
        <v>0</v>
      </c>
      <c r="AE9" s="59">
        <f>SUM(H9+G43+H27)</f>
        <v>0</v>
      </c>
      <c r="AF9" s="59">
        <f>G9+H43+G27</f>
        <v>0</v>
      </c>
      <c r="AG9" s="34">
        <f>AE9-AF9</f>
        <v>0</v>
      </c>
      <c r="AH9" s="86"/>
      <c r="AI9" s="60">
        <f>AI8-0.001</f>
        <v>9.9000000000000005E-2</v>
      </c>
      <c r="AJ9" s="61">
        <f>(Z9*10000)+(AG9*100)+(AE9*10)+AI9</f>
        <v>9.9000000000000005E-2</v>
      </c>
      <c r="AK9" s="62">
        <f>RANK(AJ9,AJ$7:AJ$11)</f>
        <v>2</v>
      </c>
      <c r="AL9" s="15"/>
      <c r="AM9" s="36">
        <v>2</v>
      </c>
      <c r="AN9" s="7"/>
      <c r="AO9" s="63" t="str">
        <f ca="1">OFFSET(U$7,MATCH(AM9,$AK$8:$AK$11,0),0)</f>
        <v>Mexico</v>
      </c>
      <c r="AP9" s="64">
        <f ca="1">OFFSET(AA$7,MATCH(AM9,$AK$8:$AK$11,0),0)</f>
        <v>0</v>
      </c>
      <c r="AQ9" s="65">
        <f ca="1">OFFSET(AB$7,MATCH(AM9,$AK$8:$AK$11,0),0)</f>
        <v>0</v>
      </c>
      <c r="AR9" s="65">
        <f ca="1">OFFSET(AC$7,MATCH(AM9,$AK$8:$AK$11,0),0)</f>
        <v>0</v>
      </c>
      <c r="AS9" s="65">
        <f ca="1">OFFSET(AD$7,MATCH(AM9,$AK$8:$AK$11,0),0)</f>
        <v>0</v>
      </c>
      <c r="AT9" s="65">
        <f ca="1">OFFSET(AE$7,MATCH(AM9,$AK$8:$AK$11,0),0)</f>
        <v>0</v>
      </c>
      <c r="AU9" s="65">
        <f ca="1">OFFSET(AF$7,MATCH(AM9,$AK$8:$AK$11,0),0)</f>
        <v>0</v>
      </c>
      <c r="AV9" s="65">
        <f ca="1">OFFSET(AG$7,MATCH(AM9,$AK$8:$AK$11,0),0)</f>
        <v>0</v>
      </c>
      <c r="AW9" s="66">
        <f ca="1">OFFSET(Z$7,MATCH(AM9,$AK$8:$AK$11,0),0)</f>
        <v>0</v>
      </c>
      <c r="AY9" s="87">
        <v>49</v>
      </c>
      <c r="AZ9" s="73" t="s">
        <v>36</v>
      </c>
      <c r="BA9" s="75">
        <v>0.66666666666666663</v>
      </c>
      <c r="BB9" s="88" t="s">
        <v>37</v>
      </c>
      <c r="BC9" s="89" t="str">
        <f ca="1">IF(AP8=3,AO8,"Winner Grp A")</f>
        <v>Winner Grp A</v>
      </c>
      <c r="BD9" s="90"/>
      <c r="BE9" s="91"/>
      <c r="BF9" s="89" t="str">
        <f ca="1">IF(AP16=3,AO16,"R-Up Grp B")</f>
        <v>R-Up Grp B</v>
      </c>
      <c r="BG9" s="81" t="s">
        <v>38</v>
      </c>
      <c r="BH9" s="92"/>
      <c r="BI9" s="8"/>
      <c r="BJ9" s="4"/>
      <c r="BK9" s="4"/>
      <c r="BL9" s="70" t="s">
        <v>30</v>
      </c>
      <c r="BM9" s="71" t="s">
        <v>39</v>
      </c>
      <c r="BN9" s="5" t="str">
        <f ca="1">AO15</f>
        <v>Argentina</v>
      </c>
      <c r="BO9" s="4"/>
      <c r="BP9" s="4"/>
      <c r="BQ9" s="4"/>
      <c r="BR9" s="4"/>
      <c r="BS9" s="4"/>
      <c r="BT9" s="4"/>
      <c r="BU9" s="4"/>
      <c r="BV9" s="4"/>
    </row>
    <row r="10" spans="1:74" ht="17.399999999999999" customHeight="1" thickBot="1">
      <c r="A10" s="6"/>
      <c r="B10" s="72">
        <f t="shared" ref="B10:B24" si="0">B9+1</f>
        <v>2</v>
      </c>
      <c r="C10" s="73" t="s">
        <v>32</v>
      </c>
      <c r="D10" s="74">
        <v>0.85416666666666663</v>
      </c>
      <c r="E10" s="75"/>
      <c r="F10" s="76" t="s">
        <v>40</v>
      </c>
      <c r="G10" s="93"/>
      <c r="H10" s="94"/>
      <c r="I10" s="78" t="s">
        <v>41</v>
      </c>
      <c r="J10" s="78"/>
      <c r="K10" s="78"/>
      <c r="L10" s="95">
        <v>3</v>
      </c>
      <c r="M10" s="96">
        <v>0</v>
      </c>
      <c r="N10" s="78"/>
      <c r="O10" s="81" t="s">
        <v>42</v>
      </c>
      <c r="P10" s="97" t="s">
        <v>18</v>
      </c>
      <c r="Q10" s="83"/>
      <c r="R10" s="52"/>
      <c r="S10" s="14"/>
      <c r="T10" s="15"/>
      <c r="U10" s="53" t="str">
        <f>F10</f>
        <v>Uruguay</v>
      </c>
      <c r="V10" s="85" t="str">
        <f>IF(X8="","",IF(X8=0,3,IF(X8=1,1,IF(X8=3,0,))))</f>
        <v/>
      </c>
      <c r="W10" s="85" t="str">
        <f>IF(X9="","",IF(X9=0,3,IF(X9=1,1,IF(X9=3,0,))))</f>
        <v/>
      </c>
      <c r="X10" s="54"/>
      <c r="Y10" s="55" t="str">
        <f>IF(G10="","",IF(G10=H10,1,IF(G10&gt;H10,3,IF(G10&lt;H10,0,))))</f>
        <v/>
      </c>
      <c r="Z10" s="56">
        <f>SUM(V10:Y10)</f>
        <v>0</v>
      </c>
      <c r="AA10" s="57">
        <f>COUNT(V10:Y10)</f>
        <v>0</v>
      </c>
      <c r="AB10" s="58">
        <f>COUNTIF(V10:Y10,3)</f>
        <v>0</v>
      </c>
      <c r="AC10" s="59">
        <f>COUNTIF(V10:Y10,0)</f>
        <v>0</v>
      </c>
      <c r="AD10" s="59">
        <f>COUNTIF(V10:Y10,1)</f>
        <v>0</v>
      </c>
      <c r="AE10" s="59">
        <f>SUM(G10+H43+H26)</f>
        <v>0</v>
      </c>
      <c r="AF10" s="59">
        <f>H10+G43+G26</f>
        <v>0</v>
      </c>
      <c r="AG10" s="34">
        <f>AE10-AF10</f>
        <v>0</v>
      </c>
      <c r="AH10" s="86"/>
      <c r="AI10" s="60">
        <f>AI9-0.001</f>
        <v>9.8000000000000004E-2</v>
      </c>
      <c r="AJ10" s="61">
        <f>(Z10*10000)+(AG10*100)+(AE10*10)+AI10</f>
        <v>9.8000000000000004E-2</v>
      </c>
      <c r="AK10" s="62">
        <f>RANK(AJ10,AJ$7:AJ$11)</f>
        <v>3</v>
      </c>
      <c r="AL10" s="15"/>
      <c r="AM10" s="36">
        <v>3</v>
      </c>
      <c r="AN10" s="7"/>
      <c r="AO10" s="63" t="str">
        <f ca="1">OFFSET(U$7,MATCH(AM10,$AK$8:$AK$11,0),0)</f>
        <v>Uruguay</v>
      </c>
      <c r="AP10" s="64">
        <f ca="1">OFFSET(AA$7,MATCH(AM10,$AK$8:$AK$11,0),0)</f>
        <v>0</v>
      </c>
      <c r="AQ10" s="65">
        <f ca="1">OFFSET(AB$7,MATCH(AM10,$AK$8:$AK$11,0),0)</f>
        <v>0</v>
      </c>
      <c r="AR10" s="65">
        <f ca="1">OFFSET(AC$7,MATCH(AM10,$AK$8:$AK$11,0),0)</f>
        <v>0</v>
      </c>
      <c r="AS10" s="65">
        <f ca="1">OFFSET(AD$7,MATCH(AM10,$AK$8:$AK$11,0),0)</f>
        <v>0</v>
      </c>
      <c r="AT10" s="65">
        <f ca="1">OFFSET(AE$7,MATCH(AM10,$AK$8:$AK$11,0),0)</f>
        <v>0</v>
      </c>
      <c r="AU10" s="65">
        <f ca="1">OFFSET(AF$7,MATCH(AM10,$AK$8:$AK$11,0),0)</f>
        <v>0</v>
      </c>
      <c r="AV10" s="65">
        <f ca="1">OFFSET(AG$7,MATCH(AM10,$AK$8:$AK$11,0),0)</f>
        <v>0</v>
      </c>
      <c r="AW10" s="66">
        <f ca="1">OFFSET(Z$7,MATCH(AM10,$AK$8:$AK$11,0),0)</f>
        <v>0</v>
      </c>
      <c r="AY10" s="87">
        <v>50</v>
      </c>
      <c r="AZ10" s="73" t="s">
        <v>36</v>
      </c>
      <c r="BA10" s="75">
        <v>0.85416666666666663</v>
      </c>
      <c r="BB10" s="98" t="s">
        <v>43</v>
      </c>
      <c r="BC10" s="89" t="str">
        <f ca="1">IF(AP22=3,AO22,"Winner Grp C")</f>
        <v>Winner Grp C</v>
      </c>
      <c r="BD10" s="90"/>
      <c r="BE10" s="91"/>
      <c r="BF10" s="89" t="str">
        <f ca="1">IF(AP30=3,AO30,"R-Up Grp D")</f>
        <v>R-Up Grp D</v>
      </c>
      <c r="BG10" s="81" t="s">
        <v>44</v>
      </c>
      <c r="BH10" s="92"/>
      <c r="BI10" s="8"/>
      <c r="BJ10" s="4"/>
      <c r="BK10" s="4"/>
      <c r="BL10" s="46" t="s">
        <v>27</v>
      </c>
      <c r="BM10" s="47" t="s">
        <v>45</v>
      </c>
      <c r="BN10" s="5" t="str">
        <f ca="1">AO16</f>
        <v>Nigeria</v>
      </c>
      <c r="BO10" s="4"/>
      <c r="BP10" s="4"/>
      <c r="BQ10" s="4"/>
      <c r="BR10" s="4"/>
      <c r="BS10" s="4"/>
      <c r="BT10" s="4"/>
      <c r="BU10" s="4"/>
      <c r="BV10" s="4"/>
    </row>
    <row r="11" spans="1:74" ht="17.399999999999999" customHeight="1" thickBot="1">
      <c r="A11" s="6"/>
      <c r="B11" s="72">
        <f t="shared" si="0"/>
        <v>3</v>
      </c>
      <c r="C11" s="73" t="s">
        <v>46</v>
      </c>
      <c r="D11" s="74">
        <v>0.66666666666666663</v>
      </c>
      <c r="E11" s="75"/>
      <c r="F11" s="76" t="s">
        <v>47</v>
      </c>
      <c r="G11" s="93"/>
      <c r="H11" s="94"/>
      <c r="I11" s="78" t="s">
        <v>48</v>
      </c>
      <c r="J11" s="78"/>
      <c r="K11" s="78"/>
      <c r="L11" s="95">
        <v>5</v>
      </c>
      <c r="M11" s="96">
        <v>0</v>
      </c>
      <c r="N11" s="78"/>
      <c r="O11" s="81" t="s">
        <v>35</v>
      </c>
      <c r="P11" s="99" t="s">
        <v>49</v>
      </c>
      <c r="Q11" s="83"/>
      <c r="R11" s="52"/>
      <c r="S11" s="14"/>
      <c r="T11" s="15"/>
      <c r="U11" s="53" t="str">
        <f>I10</f>
        <v>France</v>
      </c>
      <c r="V11" s="85" t="str">
        <f>IF(Y8="","",IF(Y8=0,3,IF(Y8=1,1,IF(Y8=3,0,))))</f>
        <v/>
      </c>
      <c r="W11" s="55" t="str">
        <f>IF(G27="","",IF(G27=H27,1,IF(G27&gt;H27,3,IF(G27&lt;H27,0,))))</f>
        <v/>
      </c>
      <c r="X11" s="85" t="str">
        <f>IF(Y10="","",IF(Y10=0,3,IF(Y10=1,1,IF(Y10=3,0,))))</f>
        <v/>
      </c>
      <c r="Y11" s="54"/>
      <c r="Z11" s="56">
        <f>SUM(V11:Y11)</f>
        <v>0</v>
      </c>
      <c r="AA11" s="57">
        <f>COUNT(V11:Y11)</f>
        <v>0</v>
      </c>
      <c r="AB11" s="58">
        <f>COUNTIF(V11:Y11,3)</f>
        <v>0</v>
      </c>
      <c r="AC11" s="59">
        <f>COUNTIF(V11:Y11,0)</f>
        <v>0</v>
      </c>
      <c r="AD11" s="59">
        <f>COUNTIF(V11:Y11,1)</f>
        <v>0</v>
      </c>
      <c r="AE11" s="59">
        <f>SUM(H10+H44+G27)</f>
        <v>0</v>
      </c>
      <c r="AF11" s="59">
        <f>G10+G44+H27</f>
        <v>0</v>
      </c>
      <c r="AG11" s="34">
        <f>AE11-AF11</f>
        <v>0</v>
      </c>
      <c r="AH11" s="86"/>
      <c r="AI11" s="60">
        <f>AI10-0.001</f>
        <v>9.7000000000000003E-2</v>
      </c>
      <c r="AJ11" s="61">
        <f>(Z11*10000)+(AG11*100)+(AE11*10)+AI11</f>
        <v>9.7000000000000003E-2</v>
      </c>
      <c r="AK11" s="62">
        <f>RANK(AJ11,AJ$7:AJ$11)</f>
        <v>4</v>
      </c>
      <c r="AL11" s="15"/>
      <c r="AM11" s="36">
        <v>4</v>
      </c>
      <c r="AN11" s="7"/>
      <c r="AO11" s="100" t="str">
        <f ca="1">OFFSET(U$7,MATCH(AM11,$AK$8:$AK$11,0),0)</f>
        <v>France</v>
      </c>
      <c r="AP11" s="101">
        <f ca="1">OFFSET(AA$7,MATCH(AM11,$AK$8:$AK$11,0),0)</f>
        <v>0</v>
      </c>
      <c r="AQ11" s="102">
        <f ca="1">OFFSET(AB$7,MATCH(AM11,$AK$8:$AK$11,0),0)</f>
        <v>0</v>
      </c>
      <c r="AR11" s="102">
        <f ca="1">OFFSET(AC$7,MATCH(AM11,$AK$8:$AK$11,0),0)</f>
        <v>0</v>
      </c>
      <c r="AS11" s="102">
        <f ca="1">OFFSET(AD$7,MATCH(AM11,$AK$8:$AK$11,0),0)</f>
        <v>0</v>
      </c>
      <c r="AT11" s="102">
        <f ca="1">OFFSET(AE$7,MATCH(AM11,$AK$8:$AK$11,0),0)</f>
        <v>0</v>
      </c>
      <c r="AU11" s="102">
        <f ca="1">OFFSET(AF$7,MATCH(AM11,$AK$8:$AK$11,0),0)</f>
        <v>0</v>
      </c>
      <c r="AV11" s="102">
        <f ca="1">OFFSET(AG$7,MATCH(AM11,$AK$8:$AK$11,0),0)</f>
        <v>0</v>
      </c>
      <c r="AW11" s="103">
        <f ca="1">OFFSET(Z$7,MATCH(AM11,$AK$8:$AK$11,0),0)</f>
        <v>0</v>
      </c>
      <c r="AY11" s="87">
        <v>51</v>
      </c>
      <c r="AZ11" s="73" t="s">
        <v>50</v>
      </c>
      <c r="BA11" s="75">
        <v>0.66666666666666663</v>
      </c>
      <c r="BB11" s="104" t="s">
        <v>51</v>
      </c>
      <c r="BC11" s="89" t="str">
        <f ca="1">IF(AP29=3,AO29,"Winner Grp D")</f>
        <v>Winner Grp D</v>
      </c>
      <c r="BD11" s="90"/>
      <c r="BE11" s="91"/>
      <c r="BF11" s="89" t="str">
        <f ca="1">IF(AP23=3,AO23,"R-Up Grp C")</f>
        <v>R-Up Grp C</v>
      </c>
      <c r="BG11" s="81" t="s">
        <v>52</v>
      </c>
      <c r="BH11" s="92"/>
      <c r="BI11" s="8"/>
      <c r="BJ11" s="4"/>
      <c r="BK11" s="4"/>
      <c r="BL11" s="105" t="s">
        <v>53</v>
      </c>
      <c r="BM11" s="106" t="s">
        <v>54</v>
      </c>
      <c r="BN11" s="5" t="str">
        <f ca="1">AO22</f>
        <v>England</v>
      </c>
      <c r="BO11" s="4"/>
      <c r="BP11" s="4"/>
      <c r="BQ11" s="4"/>
      <c r="BR11" s="4"/>
      <c r="BS11" s="4"/>
      <c r="BT11" s="4"/>
      <c r="BU11" s="4"/>
      <c r="BV11" s="4"/>
    </row>
    <row r="12" spans="1:74" ht="17.399999999999999" customHeight="1" thickBot="1">
      <c r="A12" s="6"/>
      <c r="B12" s="72">
        <f t="shared" si="0"/>
        <v>4</v>
      </c>
      <c r="C12" s="73" t="s">
        <v>46</v>
      </c>
      <c r="D12" s="74">
        <v>0.5625</v>
      </c>
      <c r="E12" s="75"/>
      <c r="F12" s="76" t="s">
        <v>55</v>
      </c>
      <c r="G12" s="93"/>
      <c r="H12" s="94"/>
      <c r="I12" s="78" t="s">
        <v>56</v>
      </c>
      <c r="J12" s="78"/>
      <c r="K12" s="78"/>
      <c r="L12" s="95">
        <v>3</v>
      </c>
      <c r="M12" s="96">
        <v>0</v>
      </c>
      <c r="N12" s="78"/>
      <c r="O12" s="81" t="s">
        <v>38</v>
      </c>
      <c r="P12" s="99" t="s">
        <v>49</v>
      </c>
      <c r="Q12" s="83"/>
      <c r="R12" s="52"/>
      <c r="S12" s="14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86"/>
      <c r="AI12" s="86"/>
      <c r="AJ12" s="86"/>
      <c r="AK12" s="86"/>
      <c r="AL12" s="15"/>
      <c r="AM12" s="14"/>
      <c r="AN12" s="7"/>
      <c r="AO12" s="7"/>
      <c r="AP12" s="7"/>
      <c r="AQ12" s="7"/>
      <c r="AR12" s="7"/>
      <c r="AS12" s="7"/>
      <c r="AT12" s="7"/>
      <c r="AU12" s="7"/>
      <c r="AV12" s="7"/>
      <c r="AW12" s="7"/>
      <c r="AY12" s="87">
        <v>52</v>
      </c>
      <c r="AZ12" s="73" t="s">
        <v>50</v>
      </c>
      <c r="BA12" s="75">
        <v>0.85416666666666663</v>
      </c>
      <c r="BB12" s="107" t="s">
        <v>57</v>
      </c>
      <c r="BC12" s="89" t="str">
        <f ca="1">IF(AP15=3,AO15,"Winner Grp B")</f>
        <v>Winner Grp B</v>
      </c>
      <c r="BD12" s="90"/>
      <c r="BE12" s="91"/>
      <c r="BF12" s="89" t="str">
        <f ca="1">IF(AP9=3,AO9,"R-Up Grp A")</f>
        <v>R-Up Grp A</v>
      </c>
      <c r="BG12" s="81" t="s">
        <v>35</v>
      </c>
      <c r="BH12" s="92"/>
      <c r="BI12" s="8"/>
      <c r="BJ12" s="4"/>
      <c r="BK12" s="4"/>
      <c r="BL12" s="108" t="s">
        <v>58</v>
      </c>
      <c r="BM12" s="109" t="s">
        <v>59</v>
      </c>
      <c r="BN12" s="5" t="str">
        <f ca="1">AO23</f>
        <v>USA</v>
      </c>
      <c r="BO12" s="4"/>
      <c r="BP12" s="4"/>
      <c r="BQ12" s="4"/>
      <c r="BR12" s="4"/>
      <c r="BS12" s="4"/>
      <c r="BT12" s="4"/>
      <c r="BU12" s="4"/>
      <c r="BV12" s="4"/>
    </row>
    <row r="13" spans="1:74" ht="17.399999999999999" customHeight="1" thickBot="1">
      <c r="A13" s="6"/>
      <c r="B13" s="72">
        <f t="shared" si="0"/>
        <v>5</v>
      </c>
      <c r="C13" s="73" t="s">
        <v>46</v>
      </c>
      <c r="D13" s="74">
        <v>0.85416666666666663</v>
      </c>
      <c r="E13" s="75"/>
      <c r="F13" s="76" t="s">
        <v>60</v>
      </c>
      <c r="G13" s="93"/>
      <c r="H13" s="94"/>
      <c r="I13" s="78" t="s">
        <v>61</v>
      </c>
      <c r="J13" s="78"/>
      <c r="K13" s="78"/>
      <c r="L13" s="95">
        <v>4</v>
      </c>
      <c r="M13" s="96">
        <v>0</v>
      </c>
      <c r="N13" s="78"/>
      <c r="O13" s="81" t="s">
        <v>44</v>
      </c>
      <c r="P13" s="110" t="s">
        <v>62</v>
      </c>
      <c r="Q13" s="83"/>
      <c r="R13" s="52"/>
      <c r="S13" s="14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4"/>
      <c r="AN13" s="7"/>
      <c r="AO13" s="220"/>
      <c r="AP13" s="209"/>
      <c r="AQ13" s="209"/>
      <c r="AR13" s="208" t="s">
        <v>63</v>
      </c>
      <c r="AS13" s="209"/>
      <c r="AT13" s="209"/>
      <c r="AU13" s="209"/>
      <c r="AV13" s="209"/>
      <c r="AW13" s="210"/>
      <c r="AY13" s="87">
        <v>53</v>
      </c>
      <c r="AZ13" s="73" t="s">
        <v>64</v>
      </c>
      <c r="BA13" s="75">
        <v>0.66666666666666663</v>
      </c>
      <c r="BB13" s="111" t="s">
        <v>65</v>
      </c>
      <c r="BC13" s="89" t="str">
        <f ca="1">IF(AP36=3,AO36,"Winner Grp E")</f>
        <v>Winner Grp E</v>
      </c>
      <c r="BD13" s="90"/>
      <c r="BE13" s="91"/>
      <c r="BF13" s="89" t="str">
        <f ca="1">IF(AP44=3,AO44,"R-Up Grp F")</f>
        <v>R-Up Grp F</v>
      </c>
      <c r="BG13" s="81" t="s">
        <v>66</v>
      </c>
      <c r="BH13" s="92"/>
      <c r="BI13" s="8"/>
      <c r="BJ13" s="4"/>
      <c r="BK13" s="4"/>
      <c r="BL13" s="108" t="s">
        <v>58</v>
      </c>
      <c r="BM13" s="109" t="s">
        <v>67</v>
      </c>
      <c r="BN13" s="5" t="str">
        <f ca="1">AO29</f>
        <v>Germany</v>
      </c>
      <c r="BO13" s="4"/>
      <c r="BP13" s="4"/>
      <c r="BQ13" s="4"/>
      <c r="BR13" s="4"/>
      <c r="BS13" s="4"/>
      <c r="BT13" s="4"/>
      <c r="BU13" s="4"/>
      <c r="BV13" s="4"/>
    </row>
    <row r="14" spans="1:74" ht="17.399999999999999" customHeight="1" thickBot="1">
      <c r="A14" s="6"/>
      <c r="B14" s="72">
        <f t="shared" si="0"/>
        <v>6</v>
      </c>
      <c r="C14" s="73" t="s">
        <v>68</v>
      </c>
      <c r="D14" s="74">
        <v>0.5625</v>
      </c>
      <c r="E14" s="75"/>
      <c r="F14" s="76" t="s">
        <v>69</v>
      </c>
      <c r="G14" s="93"/>
      <c r="H14" s="94"/>
      <c r="I14" s="78" t="s">
        <v>70</v>
      </c>
      <c r="J14" s="78"/>
      <c r="K14" s="78"/>
      <c r="L14" s="95"/>
      <c r="M14" s="96"/>
      <c r="N14" s="78"/>
      <c r="O14" s="81" t="s">
        <v>71</v>
      </c>
      <c r="P14" s="110" t="s">
        <v>62</v>
      </c>
      <c r="Q14" s="83"/>
      <c r="R14" s="52"/>
      <c r="S14" s="14"/>
      <c r="T14" s="15"/>
      <c r="U14" s="30" t="s">
        <v>11</v>
      </c>
      <c r="V14" s="31" t="str">
        <f>U15</f>
        <v>Argentina</v>
      </c>
      <c r="W14" s="31" t="str">
        <f>U16</f>
        <v>Nigeria</v>
      </c>
      <c r="X14" s="31" t="str">
        <f>U17</f>
        <v>South Korea</v>
      </c>
      <c r="Y14" s="31" t="str">
        <f>U18</f>
        <v>Greece</v>
      </c>
      <c r="Z14" s="32" t="s">
        <v>12</v>
      </c>
      <c r="AA14" s="33" t="s">
        <v>13</v>
      </c>
      <c r="AB14" s="33" t="s">
        <v>14</v>
      </c>
      <c r="AC14" s="33" t="s">
        <v>15</v>
      </c>
      <c r="AD14" s="33" t="s">
        <v>16</v>
      </c>
      <c r="AE14" s="33" t="s">
        <v>17</v>
      </c>
      <c r="AF14" s="33" t="s">
        <v>18</v>
      </c>
      <c r="AG14" s="34" t="s">
        <v>19</v>
      </c>
      <c r="AH14" s="15"/>
      <c r="AI14" s="35" t="s">
        <v>20</v>
      </c>
      <c r="AJ14" s="35" t="s">
        <v>21</v>
      </c>
      <c r="AK14" s="35" t="s">
        <v>22</v>
      </c>
      <c r="AL14" s="15"/>
      <c r="AM14" s="36" t="s">
        <v>23</v>
      </c>
      <c r="AN14" s="7"/>
      <c r="AO14" s="37"/>
      <c r="AP14" s="38" t="s">
        <v>13</v>
      </c>
      <c r="AQ14" s="39" t="s">
        <v>14</v>
      </c>
      <c r="AR14" s="39" t="s">
        <v>15</v>
      </c>
      <c r="AS14" s="39" t="s">
        <v>16</v>
      </c>
      <c r="AT14" s="39" t="s">
        <v>17</v>
      </c>
      <c r="AU14" s="39" t="s">
        <v>18</v>
      </c>
      <c r="AV14" s="39" t="s">
        <v>19</v>
      </c>
      <c r="AW14" s="40" t="s">
        <v>24</v>
      </c>
      <c r="AY14" s="87">
        <v>54</v>
      </c>
      <c r="AZ14" s="73" t="s">
        <v>64</v>
      </c>
      <c r="BA14" s="75">
        <v>0.85416666666666663</v>
      </c>
      <c r="BB14" s="112" t="s">
        <v>72</v>
      </c>
      <c r="BC14" s="89" t="str">
        <f ca="1">IF(AP50=3,AO50,"Winner Grp G")</f>
        <v>Winner Grp G</v>
      </c>
      <c r="BD14" s="90"/>
      <c r="BE14" s="91"/>
      <c r="BF14" s="89" t="str">
        <f ca="1">IF(AP58=3,AO58,"R-Up Grp H")</f>
        <v>R-Up Grp H</v>
      </c>
      <c r="BG14" s="81" t="s">
        <v>35</v>
      </c>
      <c r="BH14" s="92"/>
      <c r="BI14" s="8"/>
      <c r="BJ14" s="4"/>
      <c r="BK14" s="4"/>
      <c r="BL14" s="105" t="s">
        <v>53</v>
      </c>
      <c r="BM14" s="106" t="s">
        <v>73</v>
      </c>
      <c r="BN14" s="5" t="str">
        <f ca="1">AO30</f>
        <v>Australia</v>
      </c>
      <c r="BO14" s="4"/>
      <c r="BP14" s="4"/>
      <c r="BQ14" s="4"/>
      <c r="BR14" s="4"/>
      <c r="BS14" s="4"/>
      <c r="BT14" s="4"/>
      <c r="BU14" s="4"/>
      <c r="BV14" s="4"/>
    </row>
    <row r="15" spans="1:74" ht="17.399999999999999" customHeight="1" thickBot="1">
      <c r="A15" s="6"/>
      <c r="B15" s="72">
        <f t="shared" si="0"/>
        <v>7</v>
      </c>
      <c r="C15" s="73" t="s">
        <v>68</v>
      </c>
      <c r="D15" s="74">
        <v>0.85416666666666663</v>
      </c>
      <c r="E15" s="75"/>
      <c r="F15" s="76" t="s">
        <v>74</v>
      </c>
      <c r="G15" s="93"/>
      <c r="H15" s="94"/>
      <c r="I15" s="78" t="s">
        <v>75</v>
      </c>
      <c r="J15" s="78"/>
      <c r="K15" s="78"/>
      <c r="L15" s="95"/>
      <c r="M15" s="96"/>
      <c r="N15" s="78"/>
      <c r="O15" s="81" t="s">
        <v>66</v>
      </c>
      <c r="P15" s="113" t="s">
        <v>16</v>
      </c>
      <c r="Q15" s="83"/>
      <c r="R15" s="52"/>
      <c r="S15" s="14"/>
      <c r="T15" s="15"/>
      <c r="U15" s="53" t="str">
        <f>F11</f>
        <v>Argentina</v>
      </c>
      <c r="V15" s="54"/>
      <c r="W15" s="55" t="str">
        <f>IF(G11="","",IF(G11=H11,1,IF(G11&gt;H11,3,IF(G11&lt;H11,0,))))</f>
        <v/>
      </c>
      <c r="X15" s="55" t="str">
        <f>IF(G29="","",IF(G29=H29,1,IF(G29&gt;H29,3,IF(G29&lt;H29,0,))))</f>
        <v/>
      </c>
      <c r="Y15" s="55" t="str">
        <f>IF(G46="","",IF(G46=H46,1,IF(G46&gt;H46,3,IF(G46&lt;H46,0,))))</f>
        <v/>
      </c>
      <c r="Z15" s="56">
        <f>SUM(V15:Y15)</f>
        <v>0</v>
      </c>
      <c r="AA15" s="57">
        <f>COUNT(V15:Y15)</f>
        <v>0</v>
      </c>
      <c r="AB15" s="58">
        <f>COUNTIF(V15:Y15,3)</f>
        <v>0</v>
      </c>
      <c r="AC15" s="59">
        <f>COUNTIF(V15:Y15,0)</f>
        <v>0</v>
      </c>
      <c r="AD15" s="59">
        <f>COUNTIF(V15:Y15,1)</f>
        <v>0</v>
      </c>
      <c r="AE15" s="59">
        <f>SUM(G11+G46+G29)</f>
        <v>0</v>
      </c>
      <c r="AF15" s="59">
        <f>H11+H46+H29</f>
        <v>0</v>
      </c>
      <c r="AG15" s="34">
        <f>AE15-AF15</f>
        <v>0</v>
      </c>
      <c r="AH15" s="15"/>
      <c r="AI15" s="60">
        <v>0.1</v>
      </c>
      <c r="AJ15" s="61">
        <f>(Z15*10000)+(AG15*100)+(AE15*10)+AI15</f>
        <v>0.1</v>
      </c>
      <c r="AK15" s="62">
        <f>RANK(AJ15,AJ$14:AJ$18)</f>
        <v>1</v>
      </c>
      <c r="AL15" s="15"/>
      <c r="AM15" s="36">
        <v>1</v>
      </c>
      <c r="AN15" s="7"/>
      <c r="AO15" s="63" t="str">
        <f ca="1">OFFSET(U$14,MATCH(AM15,$AK$15:$AK$18,0),0)</f>
        <v>Argentina</v>
      </c>
      <c r="AP15" s="64">
        <f ca="1">OFFSET(AA$14,MATCH(AM15,$AK$15:$AK$18,0),0)</f>
        <v>0</v>
      </c>
      <c r="AQ15" s="65">
        <f ca="1">OFFSET(AB$14,MATCH(AM15,$AK$15:$AK$18,0),0)</f>
        <v>0</v>
      </c>
      <c r="AR15" s="65">
        <f ca="1">OFFSET(AC$14,MATCH(AM15,$AK$15:$AK$18,0),0)</f>
        <v>0</v>
      </c>
      <c r="AS15" s="65">
        <f ca="1">OFFSET(AD$14,MATCH(AM15,$AK$15:$AK$18,0),0)</f>
        <v>0</v>
      </c>
      <c r="AT15" s="65">
        <f ca="1">OFFSET(AE$14,MATCH(AM15,$AK$15:$AK$18,0),0)</f>
        <v>0</v>
      </c>
      <c r="AU15" s="65">
        <f ca="1">OFFSET(AF$14,MATCH(AM15,$AK$15:$AK$18,0),0)</f>
        <v>0</v>
      </c>
      <c r="AV15" s="65">
        <f ca="1">OFFSET(AG$14,MATCH(AM15,$AK$15:$AK$18,0),0)</f>
        <v>0</v>
      </c>
      <c r="AW15" s="66">
        <f ca="1">OFFSET(Z$14,MATCH(AM15,$AK$15:$AK$18,0),0)</f>
        <v>0</v>
      </c>
      <c r="AY15" s="87">
        <v>55</v>
      </c>
      <c r="AZ15" s="73" t="s">
        <v>76</v>
      </c>
      <c r="BA15" s="75">
        <v>0.66666666666666663</v>
      </c>
      <c r="BB15" s="114" t="s">
        <v>77</v>
      </c>
      <c r="BC15" s="89" t="str">
        <f ca="1">IF(AP43=3,AO43,"Winner Grp F")</f>
        <v>Winner Grp F</v>
      </c>
      <c r="BD15" s="90"/>
      <c r="BE15" s="91"/>
      <c r="BF15" s="89" t="str">
        <f ca="1">IF(AP37=3,AO37,"R-Up Grp E")</f>
        <v>R-Up Grp E</v>
      </c>
      <c r="BG15" s="81" t="s">
        <v>78</v>
      </c>
      <c r="BH15" s="92"/>
      <c r="BI15" s="8"/>
      <c r="BJ15" s="4"/>
      <c r="BK15" s="4"/>
      <c r="BL15" s="115" t="s">
        <v>79</v>
      </c>
      <c r="BM15" s="116" t="s">
        <v>80</v>
      </c>
      <c r="BN15" s="5" t="str">
        <f ca="1">AO36</f>
        <v>Netherlands</v>
      </c>
      <c r="BO15" s="4"/>
      <c r="BP15" s="4"/>
      <c r="BQ15" s="4"/>
      <c r="BR15" s="4"/>
      <c r="BS15" s="4"/>
      <c r="BT15" s="4"/>
      <c r="BU15" s="4"/>
      <c r="BV15" s="4"/>
    </row>
    <row r="16" spans="1:74" ht="17.399999999999999" customHeight="1" thickBot="1">
      <c r="A16" s="6"/>
      <c r="B16" s="72">
        <f t="shared" si="0"/>
        <v>8</v>
      </c>
      <c r="C16" s="73" t="s">
        <v>68</v>
      </c>
      <c r="D16" s="74">
        <v>0.66666666666666663</v>
      </c>
      <c r="E16" s="75"/>
      <c r="F16" s="76" t="s">
        <v>81</v>
      </c>
      <c r="G16" s="93"/>
      <c r="H16" s="94"/>
      <c r="I16" s="78" t="s">
        <v>82</v>
      </c>
      <c r="J16" s="78"/>
      <c r="K16" s="78"/>
      <c r="L16" s="95"/>
      <c r="M16" s="96"/>
      <c r="N16" s="78"/>
      <c r="O16" s="81" t="s">
        <v>78</v>
      </c>
      <c r="P16" s="113" t="s">
        <v>16</v>
      </c>
      <c r="Q16" s="83"/>
      <c r="R16" s="52"/>
      <c r="S16" s="14"/>
      <c r="T16" s="15"/>
      <c r="U16" s="84" t="str">
        <f>I11</f>
        <v>Nigeria</v>
      </c>
      <c r="V16" s="85" t="str">
        <f>IF(W15="","",IF(W15=0,3,IF(W15=1,1,IF(W15=3,0,))))</f>
        <v/>
      </c>
      <c r="W16" s="54"/>
      <c r="X16" s="55" t="str">
        <f>IF(G45="","",IF(G45=H45,1,IF(G45&gt;H45,3,IF(G45&lt;H45,0,))))</f>
        <v/>
      </c>
      <c r="Y16" s="85" t="str">
        <f>IF(W18="","",IF(W18=0,3,IF(W18=1,1,IF(W18=3,0,))))</f>
        <v/>
      </c>
      <c r="Z16" s="56">
        <f>SUM(V16:Y16)</f>
        <v>0</v>
      </c>
      <c r="AA16" s="57">
        <f>COUNT(V16:Y16)</f>
        <v>0</v>
      </c>
      <c r="AB16" s="58">
        <f>COUNTIF(V16:Y16,3)</f>
        <v>0</v>
      </c>
      <c r="AC16" s="59">
        <f>COUNTIF(V16:Y16,0)</f>
        <v>0</v>
      </c>
      <c r="AD16" s="59">
        <f>COUNTIF(V16:Y16,1)</f>
        <v>0</v>
      </c>
      <c r="AE16" s="59">
        <f>SUM(H11+G45+H28)</f>
        <v>0</v>
      </c>
      <c r="AF16" s="59">
        <f>G11+H45+G28</f>
        <v>0</v>
      </c>
      <c r="AG16" s="34">
        <f>AE16-AF16</f>
        <v>0</v>
      </c>
      <c r="AH16" s="15"/>
      <c r="AI16" s="60">
        <f>AI15-0.001</f>
        <v>9.9000000000000005E-2</v>
      </c>
      <c r="AJ16" s="61">
        <f>(Z16*10000)+(AG16*100)+(AE16*10)+AI16</f>
        <v>9.9000000000000005E-2</v>
      </c>
      <c r="AK16" s="62">
        <f>RANK(AJ16,AJ$14:AJ$18)</f>
        <v>2</v>
      </c>
      <c r="AL16" s="15"/>
      <c r="AM16" s="36">
        <v>2</v>
      </c>
      <c r="AN16" s="7"/>
      <c r="AO16" s="63" t="str">
        <f ca="1">OFFSET(U$14,MATCH(AM16,$AK$15:$AK$18,0),0)</f>
        <v>Nigeria</v>
      </c>
      <c r="AP16" s="64">
        <f ca="1">OFFSET(AA$14,MATCH(AM16,$AK$15:$AK$18,0),0)</f>
        <v>0</v>
      </c>
      <c r="AQ16" s="65">
        <f ca="1">OFFSET(AB$14,MATCH(AM16,$AK$15:$AK$18,0),0)</f>
        <v>0</v>
      </c>
      <c r="AR16" s="65">
        <f ca="1">OFFSET(AC$14,MATCH(AM16,$AK$15:$AK$18,0),0)</f>
        <v>0</v>
      </c>
      <c r="AS16" s="65">
        <f ca="1">OFFSET(AD$14,MATCH(AM16,$AK$15:$AK$18,0),0)</f>
        <v>0</v>
      </c>
      <c r="AT16" s="65">
        <f ca="1">OFFSET(AE$14,MATCH(AM16,$AK$15:$AK$18,0),0)</f>
        <v>0</v>
      </c>
      <c r="AU16" s="65">
        <f ca="1">OFFSET(AF$14,MATCH(AM16,$AK$15:$AK$18,0),0)</f>
        <v>0</v>
      </c>
      <c r="AV16" s="65">
        <f ca="1">OFFSET(AG$14,MATCH(AM16,$AK$15:$AK$18,0),0)</f>
        <v>0</v>
      </c>
      <c r="AW16" s="66">
        <f ca="1">OFFSET(Z$14,MATCH(AM16,$AK$15:$AK$18,0),0)</f>
        <v>0</v>
      </c>
      <c r="AY16" s="87">
        <v>56</v>
      </c>
      <c r="AZ16" s="73" t="s">
        <v>76</v>
      </c>
      <c r="BA16" s="75">
        <v>0.85416666666666663</v>
      </c>
      <c r="BB16" s="117" t="s">
        <v>83</v>
      </c>
      <c r="BC16" s="89" t="str">
        <f ca="1">IF(AP57=3,AO57,"Winner Grp H")</f>
        <v>Winner Grp H</v>
      </c>
      <c r="BD16" s="90"/>
      <c r="BE16" s="91"/>
      <c r="BF16" s="89" t="str">
        <f ca="1">IF(AP51=3,AO51,"R-Up Grp G")</f>
        <v>R-Up Grp G</v>
      </c>
      <c r="BG16" s="81" t="s">
        <v>42</v>
      </c>
      <c r="BH16" s="92"/>
      <c r="BI16" s="8"/>
      <c r="BJ16" s="4"/>
      <c r="BK16" s="4"/>
      <c r="BL16" s="118" t="s">
        <v>84</v>
      </c>
      <c r="BM16" s="119" t="s">
        <v>85</v>
      </c>
      <c r="BN16" s="5" t="str">
        <f ca="1">AO37</f>
        <v>Denmark</v>
      </c>
      <c r="BO16" s="4"/>
      <c r="BP16" s="4"/>
      <c r="BQ16" s="4"/>
      <c r="BR16" s="4"/>
      <c r="BS16" s="4"/>
      <c r="BT16" s="4"/>
      <c r="BU16" s="4"/>
      <c r="BV16" s="4"/>
    </row>
    <row r="17" spans="1:74" ht="17.399999999999999" customHeight="1" thickBot="1">
      <c r="A17" s="6"/>
      <c r="B17" s="72">
        <f t="shared" si="0"/>
        <v>9</v>
      </c>
      <c r="C17" s="73" t="s">
        <v>86</v>
      </c>
      <c r="D17" s="74">
        <v>0.5625</v>
      </c>
      <c r="E17" s="75"/>
      <c r="F17" s="76" t="s">
        <v>166</v>
      </c>
      <c r="G17" s="93"/>
      <c r="H17" s="94"/>
      <c r="I17" s="78" t="s">
        <v>87</v>
      </c>
      <c r="J17" s="78"/>
      <c r="K17" s="78"/>
      <c r="L17" s="95"/>
      <c r="M17" s="96"/>
      <c r="N17" s="78"/>
      <c r="O17" s="81" t="s">
        <v>35</v>
      </c>
      <c r="P17" s="120" t="s">
        <v>88</v>
      </c>
      <c r="Q17" s="83"/>
      <c r="R17" s="52"/>
      <c r="S17" s="14"/>
      <c r="T17" s="15"/>
      <c r="U17" s="53" t="str">
        <f>F12</f>
        <v>South Korea</v>
      </c>
      <c r="V17" s="85" t="str">
        <f>IF(X15="","",IF(X15=0,3,IF(X15=1,1,IF(X15=3,0,))))</f>
        <v/>
      </c>
      <c r="W17" s="85" t="str">
        <f>IF(X16="","",IF(X16=0,3,IF(X16=1,1,IF(X16=3,0,))))</f>
        <v/>
      </c>
      <c r="X17" s="54"/>
      <c r="Y17" s="55" t="str">
        <f>IF(G12="","",IF(G12=H12,1,IF(G12&gt;H12,3,IF(G12&lt;H12,0,))))</f>
        <v/>
      </c>
      <c r="Z17" s="56">
        <f>SUM(V17:Y17)</f>
        <v>0</v>
      </c>
      <c r="AA17" s="57">
        <f>COUNT(V17:Y17)</f>
        <v>0</v>
      </c>
      <c r="AB17" s="58">
        <f>COUNTIF(V17:Y17,3)</f>
        <v>0</v>
      </c>
      <c r="AC17" s="59">
        <f>COUNTIF(V17:Y17,0)</f>
        <v>0</v>
      </c>
      <c r="AD17" s="59">
        <f>COUNTIF(V17:Y17,1)</f>
        <v>0</v>
      </c>
      <c r="AE17" s="59">
        <f>SUM(G12+H45+H29)</f>
        <v>0</v>
      </c>
      <c r="AF17" s="59">
        <f>H12+G45+G29</f>
        <v>0</v>
      </c>
      <c r="AG17" s="34">
        <f>AE17-AF17</f>
        <v>0</v>
      </c>
      <c r="AH17" s="15"/>
      <c r="AI17" s="60">
        <f>AI16-0.001</f>
        <v>9.8000000000000004E-2</v>
      </c>
      <c r="AJ17" s="61">
        <f>(Z17*10000)+(AG17*100)+(AE17*10)+AI17</f>
        <v>9.8000000000000004E-2</v>
      </c>
      <c r="AK17" s="62">
        <f>RANK(AJ17,AJ$14:AJ$18)</f>
        <v>3</v>
      </c>
      <c r="AL17" s="15"/>
      <c r="AM17" s="36">
        <v>3</v>
      </c>
      <c r="AN17" s="7"/>
      <c r="AO17" s="63" t="str">
        <f ca="1">OFFSET(U$14,MATCH(AM17,$AK$15:$AK$18,0),0)</f>
        <v>South Korea</v>
      </c>
      <c r="AP17" s="64">
        <f ca="1">OFFSET(AA$14,MATCH(AM17,$AK$15:$AK$18,0),0)</f>
        <v>0</v>
      </c>
      <c r="AQ17" s="65">
        <f ca="1">OFFSET(AB$14,MATCH(AM17,$AK$15:$AK$18,0),0)</f>
        <v>0</v>
      </c>
      <c r="AR17" s="65">
        <f ca="1">OFFSET(AC$14,MATCH(AM17,$AK$15:$AK$18,0),0)</f>
        <v>0</v>
      </c>
      <c r="AS17" s="65">
        <f ca="1">OFFSET(AD$14,MATCH(AM17,$AK$15:$AK$18,0),0)</f>
        <v>0</v>
      </c>
      <c r="AT17" s="65">
        <f ca="1">OFFSET(AE$14,MATCH(AM17,$AK$15:$AK$18,0),0)</f>
        <v>0</v>
      </c>
      <c r="AU17" s="65">
        <f ca="1">OFFSET(AF$14,MATCH(AM17,$AK$15:$AK$18,0),0)</f>
        <v>0</v>
      </c>
      <c r="AV17" s="65">
        <f ca="1">OFFSET(AG$14,MATCH(AM17,$AK$15:$AK$18,0),0)</f>
        <v>0</v>
      </c>
      <c r="AW17" s="66">
        <f ca="1">OFFSET(Z$14,MATCH(AM17,$AK$15:$AK$18,0),0)</f>
        <v>0</v>
      </c>
      <c r="AY17" s="121"/>
      <c r="AZ17" s="122"/>
      <c r="BA17" s="122"/>
      <c r="BB17" s="122"/>
      <c r="BC17" s="122"/>
      <c r="BD17" s="122"/>
      <c r="BE17" s="122"/>
      <c r="BF17" s="122"/>
      <c r="BG17" s="122"/>
      <c r="BH17" s="123"/>
      <c r="BI17" s="8"/>
      <c r="BJ17" s="4"/>
      <c r="BK17" s="4"/>
      <c r="BL17" s="118" t="s">
        <v>84</v>
      </c>
      <c r="BM17" s="119" t="s">
        <v>89</v>
      </c>
      <c r="BN17" s="5" t="str">
        <f ca="1">AO43</f>
        <v>Italy</v>
      </c>
      <c r="BO17" s="4"/>
      <c r="BP17" s="4"/>
      <c r="BQ17" s="4"/>
      <c r="BR17" s="4"/>
      <c r="BS17" s="4"/>
      <c r="BT17" s="4"/>
      <c r="BU17" s="4"/>
      <c r="BV17" s="4"/>
    </row>
    <row r="18" spans="1:74" ht="21" customHeight="1" thickBot="1">
      <c r="A18" s="6"/>
      <c r="B18" s="72">
        <f t="shared" si="0"/>
        <v>10</v>
      </c>
      <c r="C18" s="73" t="s">
        <v>86</v>
      </c>
      <c r="D18" s="74">
        <v>0.66666666666666663</v>
      </c>
      <c r="E18" s="75"/>
      <c r="F18" s="76" t="s">
        <v>90</v>
      </c>
      <c r="G18" s="93"/>
      <c r="H18" s="94"/>
      <c r="I18" s="78" t="s">
        <v>91</v>
      </c>
      <c r="J18" s="78"/>
      <c r="K18" s="78"/>
      <c r="L18" s="95"/>
      <c r="M18" s="96"/>
      <c r="N18" s="78"/>
      <c r="O18" s="81" t="s">
        <v>52</v>
      </c>
      <c r="P18" s="120" t="s">
        <v>88</v>
      </c>
      <c r="Q18" s="83"/>
      <c r="R18" s="52"/>
      <c r="S18" s="14"/>
      <c r="T18" s="15"/>
      <c r="U18" s="53" t="str">
        <f>I12</f>
        <v>Greece</v>
      </c>
      <c r="V18" s="85" t="str">
        <f>IF(Y15="","",IF(Y15=0,3,IF(Y15=1,1,IF(Y15=3,0,))))</f>
        <v/>
      </c>
      <c r="W18" s="55" t="str">
        <f>IF(G28="","",IF(G28=H28,1,IF(G28&gt;H28,3,IF(G28&lt;H28,0,))))</f>
        <v/>
      </c>
      <c r="X18" s="85" t="str">
        <f>IF(Y17="","",IF(Y17=0,3,IF(Y17=1,1,IF(Y17=3,0,))))</f>
        <v/>
      </c>
      <c r="Y18" s="54"/>
      <c r="Z18" s="56">
        <f>SUM(V18:Y18)</f>
        <v>0</v>
      </c>
      <c r="AA18" s="57">
        <f>COUNT(V18:Y18)</f>
        <v>0</v>
      </c>
      <c r="AB18" s="58">
        <f>COUNTIF(V18:Y18,3)</f>
        <v>0</v>
      </c>
      <c r="AC18" s="59">
        <f>COUNTIF(V18:Y18,0)</f>
        <v>0</v>
      </c>
      <c r="AD18" s="59">
        <f>COUNTIF(V18:Y18,1)</f>
        <v>0</v>
      </c>
      <c r="AE18" s="59">
        <f>SUM(H12+H46+G28)</f>
        <v>0</v>
      </c>
      <c r="AF18" s="59">
        <f>G12+G46+H28</f>
        <v>0</v>
      </c>
      <c r="AG18" s="34">
        <f>AE18-AF18</f>
        <v>0</v>
      </c>
      <c r="AH18" s="15"/>
      <c r="AI18" s="60">
        <f>AI17-0.001</f>
        <v>9.7000000000000003E-2</v>
      </c>
      <c r="AJ18" s="61">
        <f>(Z18*10000)+(AG18*100)+(AE18*10)+AI18</f>
        <v>9.7000000000000003E-2</v>
      </c>
      <c r="AK18" s="62">
        <f>RANK(AJ18,AJ$14:AJ$18)</f>
        <v>4</v>
      </c>
      <c r="AL18" s="15"/>
      <c r="AM18" s="36">
        <v>4</v>
      </c>
      <c r="AN18" s="7"/>
      <c r="AO18" s="100" t="str">
        <f ca="1">OFFSET(U$14,MATCH(AM18,$AK$15:$AK$18,0),0)</f>
        <v>Greece</v>
      </c>
      <c r="AP18" s="101">
        <f ca="1">OFFSET(AA$14,MATCH(AM18,$AK$15:$AK$18,0),0)</f>
        <v>0</v>
      </c>
      <c r="AQ18" s="102">
        <f ca="1">OFFSET(AB$14,MATCH(AM18,$AK$15:$AK$18,0),0)</f>
        <v>0</v>
      </c>
      <c r="AR18" s="102">
        <f ca="1">OFFSET(AC$14,MATCH(AM18,$AK$15:$AK$18,0),0)</f>
        <v>0</v>
      </c>
      <c r="AS18" s="102">
        <f ca="1">OFFSET(AD$14,MATCH(AM18,$AK$15:$AK$18,0),0)</f>
        <v>0</v>
      </c>
      <c r="AT18" s="102">
        <f ca="1">OFFSET(AE$14,MATCH(AM18,$AK$15:$AK$18,0),0)</f>
        <v>0</v>
      </c>
      <c r="AU18" s="102">
        <f ca="1">OFFSET(AF$14,MATCH(AM18,$AK$15:$AK$18,0),0)</f>
        <v>0</v>
      </c>
      <c r="AV18" s="102">
        <f ca="1">OFFSET(AG$14,MATCH(AM18,$AK$15:$AK$18,0),0)</f>
        <v>0</v>
      </c>
      <c r="AW18" s="103">
        <f ca="1">OFFSET(Z$14,MATCH(AM18,$AK$15:$AK$18,0),0)</f>
        <v>0</v>
      </c>
      <c r="BD18" s="7"/>
      <c r="BE18" s="7"/>
      <c r="BF18" s="7"/>
      <c r="BG18" s="7"/>
      <c r="BH18" s="7"/>
      <c r="BI18" s="8"/>
      <c r="BJ18" s="4"/>
      <c r="BK18" s="4"/>
      <c r="BL18" s="115" t="s">
        <v>79</v>
      </c>
      <c r="BM18" s="116" t="s">
        <v>92</v>
      </c>
      <c r="BN18" s="5" t="str">
        <f ca="1">AO44</f>
        <v>Paraguay</v>
      </c>
      <c r="BO18" s="4"/>
      <c r="BP18" s="4"/>
      <c r="BQ18" s="4"/>
      <c r="BR18" s="4"/>
      <c r="BS18" s="4"/>
      <c r="BT18" s="4"/>
      <c r="BU18" s="4"/>
      <c r="BV18" s="4"/>
    </row>
    <row r="19" spans="1:74" ht="19.5" customHeight="1" thickBot="1">
      <c r="A19" s="6"/>
      <c r="B19" s="72">
        <f t="shared" si="0"/>
        <v>11</v>
      </c>
      <c r="C19" s="73" t="s">
        <v>86</v>
      </c>
      <c r="D19" s="74">
        <v>0.85416666666666663</v>
      </c>
      <c r="E19" s="75"/>
      <c r="F19" s="76" t="s">
        <v>93</v>
      </c>
      <c r="G19" s="93"/>
      <c r="H19" s="94"/>
      <c r="I19" s="78" t="s">
        <v>94</v>
      </c>
      <c r="J19" s="78"/>
      <c r="K19" s="78"/>
      <c r="L19" s="95"/>
      <c r="M19" s="96"/>
      <c r="N19" s="78"/>
      <c r="O19" s="81" t="s">
        <v>42</v>
      </c>
      <c r="P19" s="124" t="s">
        <v>17</v>
      </c>
      <c r="Q19" s="83"/>
      <c r="R19" s="52"/>
      <c r="S19" s="14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4"/>
      <c r="AN19" s="7"/>
      <c r="AO19" s="7"/>
      <c r="AP19" s="7"/>
      <c r="AQ19" s="7"/>
      <c r="AR19" s="7"/>
      <c r="AS19" s="7"/>
      <c r="AT19" s="7"/>
      <c r="AU19" s="7"/>
      <c r="AV19" s="7"/>
      <c r="AW19" s="7"/>
      <c r="BD19" s="7"/>
      <c r="BE19" s="7"/>
      <c r="BF19" s="7"/>
      <c r="BG19" s="7"/>
      <c r="BH19" s="7"/>
      <c r="BI19" s="8"/>
      <c r="BJ19" s="4"/>
      <c r="BK19" s="4"/>
      <c r="BL19" s="125" t="s">
        <v>95</v>
      </c>
      <c r="BM19" s="126" t="s">
        <v>96</v>
      </c>
      <c r="BN19" s="5" t="str">
        <f ca="1">AO50</f>
        <v>Ivory Coast</v>
      </c>
      <c r="BO19" s="4"/>
      <c r="BP19" s="4"/>
      <c r="BQ19" s="4"/>
      <c r="BR19" s="4"/>
      <c r="BS19" s="4"/>
      <c r="BT19" s="4"/>
      <c r="BU19" s="4"/>
      <c r="BV19" s="4"/>
    </row>
    <row r="20" spans="1:74" ht="17.399999999999999" customHeight="1" thickBot="1">
      <c r="A20" s="6"/>
      <c r="B20" s="72">
        <f t="shared" si="0"/>
        <v>12</v>
      </c>
      <c r="C20" s="73" t="s">
        <v>97</v>
      </c>
      <c r="D20" s="74">
        <v>0.5625</v>
      </c>
      <c r="E20" s="75"/>
      <c r="F20" s="76" t="s">
        <v>98</v>
      </c>
      <c r="G20" s="93"/>
      <c r="H20" s="94"/>
      <c r="I20" s="78" t="s">
        <v>99</v>
      </c>
      <c r="J20" s="78"/>
      <c r="K20" s="78"/>
      <c r="L20" s="95"/>
      <c r="M20" s="96"/>
      <c r="N20" s="78"/>
      <c r="O20" s="81" t="s">
        <v>44</v>
      </c>
      <c r="P20" s="124" t="s">
        <v>17</v>
      </c>
      <c r="Q20" s="83"/>
      <c r="R20" s="52"/>
      <c r="S20" s="14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4"/>
      <c r="AN20" s="7"/>
      <c r="AO20" s="221"/>
      <c r="AP20" s="222"/>
      <c r="AQ20" s="222"/>
      <c r="AR20" s="223" t="s">
        <v>100</v>
      </c>
      <c r="AS20" s="222"/>
      <c r="AT20" s="222"/>
      <c r="AU20" s="222"/>
      <c r="AV20" s="222"/>
      <c r="AW20" s="224"/>
      <c r="AX20" s="127"/>
      <c r="AY20" s="19"/>
      <c r="AZ20" s="266" t="s">
        <v>101</v>
      </c>
      <c r="BA20" s="266"/>
      <c r="BB20" s="266"/>
      <c r="BC20" s="266"/>
      <c r="BD20" s="266"/>
      <c r="BE20" s="266"/>
      <c r="BF20" s="266"/>
      <c r="BG20" s="266"/>
      <c r="BH20" s="23"/>
      <c r="BI20" s="8"/>
      <c r="BJ20" s="4"/>
      <c r="BK20" s="4"/>
      <c r="BL20" s="128" t="s">
        <v>102</v>
      </c>
      <c r="BM20" s="129" t="s">
        <v>103</v>
      </c>
      <c r="BN20" s="5" t="str">
        <f ca="1">AO51</f>
        <v>Portugal</v>
      </c>
      <c r="BO20" s="4"/>
      <c r="BP20" s="4"/>
      <c r="BQ20" s="4"/>
      <c r="BR20" s="4"/>
      <c r="BS20" s="4"/>
      <c r="BT20" s="4"/>
      <c r="BU20" s="4"/>
      <c r="BV20" s="4"/>
    </row>
    <row r="21" spans="1:74" ht="17.399999999999999" customHeight="1" thickBot="1">
      <c r="A21" s="6"/>
      <c r="B21" s="72">
        <f t="shared" si="0"/>
        <v>13</v>
      </c>
      <c r="C21" s="73" t="s">
        <v>97</v>
      </c>
      <c r="D21" s="74">
        <v>0.66666666666666663</v>
      </c>
      <c r="E21" s="75"/>
      <c r="F21" s="76" t="s">
        <v>104</v>
      </c>
      <c r="G21" s="93"/>
      <c r="H21" s="94"/>
      <c r="I21" s="78" t="s">
        <v>105</v>
      </c>
      <c r="J21" s="78"/>
      <c r="K21" s="78"/>
      <c r="L21" s="95"/>
      <c r="M21" s="96"/>
      <c r="N21" s="78"/>
      <c r="O21" s="81" t="s">
        <v>38</v>
      </c>
      <c r="P21" s="130" t="s">
        <v>106</v>
      </c>
      <c r="Q21" s="83"/>
      <c r="R21" s="52"/>
      <c r="S21" s="14"/>
      <c r="T21" s="15"/>
      <c r="U21" s="30" t="s">
        <v>11</v>
      </c>
      <c r="V21" s="31" t="str">
        <f>U22</f>
        <v>England</v>
      </c>
      <c r="W21" s="31" t="str">
        <f>U23</f>
        <v>USA</v>
      </c>
      <c r="X21" s="31" t="str">
        <f>U24</f>
        <v>Algeria</v>
      </c>
      <c r="Y21" s="31" t="str">
        <f>U25</f>
        <v>Slovenia</v>
      </c>
      <c r="Z21" s="32" t="s">
        <v>12</v>
      </c>
      <c r="AA21" s="33" t="s">
        <v>13</v>
      </c>
      <c r="AB21" s="33" t="s">
        <v>14</v>
      </c>
      <c r="AC21" s="33" t="s">
        <v>15</v>
      </c>
      <c r="AD21" s="33" t="s">
        <v>16</v>
      </c>
      <c r="AE21" s="33" t="s">
        <v>17</v>
      </c>
      <c r="AF21" s="33" t="s">
        <v>18</v>
      </c>
      <c r="AG21" s="34" t="s">
        <v>19</v>
      </c>
      <c r="AH21" s="15"/>
      <c r="AI21" s="35" t="s">
        <v>20</v>
      </c>
      <c r="AJ21" s="35" t="s">
        <v>21</v>
      </c>
      <c r="AK21" s="35" t="s">
        <v>22</v>
      </c>
      <c r="AL21" s="15"/>
      <c r="AM21" s="36" t="s">
        <v>23</v>
      </c>
      <c r="AN21" s="7"/>
      <c r="AO21" s="37"/>
      <c r="AP21" s="38" t="s">
        <v>13</v>
      </c>
      <c r="AQ21" s="39" t="s">
        <v>14</v>
      </c>
      <c r="AR21" s="39" t="s">
        <v>15</v>
      </c>
      <c r="AS21" s="39" t="s">
        <v>16</v>
      </c>
      <c r="AT21" s="39" t="s">
        <v>17</v>
      </c>
      <c r="AU21" s="39" t="s">
        <v>18</v>
      </c>
      <c r="AV21" s="39" t="s">
        <v>19</v>
      </c>
      <c r="AW21" s="40" t="s">
        <v>24</v>
      </c>
      <c r="AX21" s="127"/>
      <c r="AY21" s="41" t="s">
        <v>3</v>
      </c>
      <c r="AZ21" s="42" t="s">
        <v>4</v>
      </c>
      <c r="BA21" s="43" t="s">
        <v>5</v>
      </c>
      <c r="BB21" s="44" t="s">
        <v>25</v>
      </c>
      <c r="BC21" s="237" t="s">
        <v>26</v>
      </c>
      <c r="BD21" s="237"/>
      <c r="BE21" s="237"/>
      <c r="BF21" s="237"/>
      <c r="BG21" s="42" t="s">
        <v>9</v>
      </c>
      <c r="BH21" s="45"/>
      <c r="BI21" s="8"/>
      <c r="BJ21" s="4"/>
      <c r="BK21" s="4"/>
      <c r="BL21" s="128" t="s">
        <v>102</v>
      </c>
      <c r="BM21" s="129" t="s">
        <v>107</v>
      </c>
      <c r="BN21" s="5" t="str">
        <f ca="1">AO57</f>
        <v>Honduras</v>
      </c>
      <c r="BO21" s="4"/>
      <c r="BP21" s="4"/>
      <c r="BQ21" s="4"/>
      <c r="BR21" s="4"/>
      <c r="BS21" s="4"/>
      <c r="BT21" s="4"/>
      <c r="BU21" s="4"/>
      <c r="BV21" s="4"/>
    </row>
    <row r="22" spans="1:74" ht="17.399999999999999" customHeight="1" thickBot="1">
      <c r="A22" s="6"/>
      <c r="B22" s="72">
        <f t="shared" si="0"/>
        <v>14</v>
      </c>
      <c r="C22" s="73" t="s">
        <v>97</v>
      </c>
      <c r="D22" s="74">
        <v>0.85416666666666663</v>
      </c>
      <c r="E22" s="75"/>
      <c r="F22" s="76" t="s">
        <v>108</v>
      </c>
      <c r="G22" s="93"/>
      <c r="H22" s="94"/>
      <c r="I22" s="78" t="s">
        <v>109</v>
      </c>
      <c r="J22" s="78"/>
      <c r="K22" s="78"/>
      <c r="L22" s="95"/>
      <c r="M22" s="96"/>
      <c r="N22" s="78"/>
      <c r="O22" s="81" t="s">
        <v>35</v>
      </c>
      <c r="P22" s="130" t="s">
        <v>106</v>
      </c>
      <c r="Q22" s="83"/>
      <c r="R22" s="52"/>
      <c r="S22" s="14"/>
      <c r="T22" s="15"/>
      <c r="U22" s="53" t="str">
        <f>F13</f>
        <v>England</v>
      </c>
      <c r="V22" s="54"/>
      <c r="W22" s="55" t="str">
        <f>IF(G13="","",IF(G13=H13,1,IF(G13&gt;H13,3,IF(G13&lt;H13,0,))))</f>
        <v/>
      </c>
      <c r="X22" s="55" t="str">
        <f>IF(G32="","",IF(G32=H32,1,IF(G32&gt;H32,3,IF(G32&lt;H32,0,))))</f>
        <v/>
      </c>
      <c r="Y22" s="55" t="str">
        <f>IF(G47="","",IF(G47=H47,1,IF(G47&gt;H47,3,IF(G47&lt;H47,0,))))</f>
        <v/>
      </c>
      <c r="Z22" s="56">
        <f>SUM(V22:Y22)</f>
        <v>0</v>
      </c>
      <c r="AA22" s="57">
        <f>COUNT(V22:Y22)</f>
        <v>0</v>
      </c>
      <c r="AB22" s="58">
        <f>COUNTIF(V22:Y22,3)</f>
        <v>0</v>
      </c>
      <c r="AC22" s="59">
        <f>COUNTIF(V22:Y22,0)</f>
        <v>0</v>
      </c>
      <c r="AD22" s="59">
        <f>COUNTIF(V22:Y22,1)</f>
        <v>0</v>
      </c>
      <c r="AE22" s="59">
        <f>SUM(G13+G32+G47)</f>
        <v>0</v>
      </c>
      <c r="AF22" s="59">
        <f>H13+H47+H32</f>
        <v>0</v>
      </c>
      <c r="AG22" s="34">
        <f>AE22-AF22</f>
        <v>0</v>
      </c>
      <c r="AH22" s="15"/>
      <c r="AI22" s="60">
        <v>0.1</v>
      </c>
      <c r="AJ22" s="61">
        <f>(Z22*10000)+(AG22*100)+(AE22*10)+AI22</f>
        <v>0.1</v>
      </c>
      <c r="AK22" s="62">
        <f>RANK(AJ22,AJ$21:AJ$25)</f>
        <v>1</v>
      </c>
      <c r="AL22" s="15"/>
      <c r="AM22" s="36">
        <v>1</v>
      </c>
      <c r="AN22" s="7"/>
      <c r="AO22" s="63" t="str">
        <f ca="1">OFFSET(U$21,MATCH(AM22,$AK$22:$AK$25,0),0)</f>
        <v>England</v>
      </c>
      <c r="AP22" s="64">
        <f ca="1">OFFSET(AA$21,MATCH(AM22,$AK$22:$AK$25,0),0)</f>
        <v>0</v>
      </c>
      <c r="AQ22" s="65">
        <f ca="1">OFFSET(AB$21,MATCH(AM22,$AK$22:$AK$25,0),0)</f>
        <v>0</v>
      </c>
      <c r="AR22" s="65">
        <f ca="1">OFFSET(AC$21,MATCH(AM22,$AK$22:$AK$25,0),0)</f>
        <v>0</v>
      </c>
      <c r="AS22" s="65">
        <f ca="1">OFFSET(AD$21,MATCH(AM22,$AK$22:$AK$25,0),0)</f>
        <v>0</v>
      </c>
      <c r="AT22" s="65">
        <f ca="1">OFFSET(AE$21,MATCH(AM22,$AK$22:$AK$25,0),0)</f>
        <v>0</v>
      </c>
      <c r="AU22" s="65">
        <f ca="1">OFFSET(AF$21,MATCH(AM22,$AK$22:$AK$25,0),0)</f>
        <v>0</v>
      </c>
      <c r="AV22" s="65">
        <f ca="1">OFFSET(AG$21,MATCH(AM22,$AK$22:$AK$25,0),0)</f>
        <v>0</v>
      </c>
      <c r="AW22" s="66">
        <f ca="1">OFFSET(Z$21,MATCH(AM22,$AK$22:$AK$25,0),0)</f>
        <v>0</v>
      </c>
      <c r="AY22" s="131"/>
      <c r="AZ22" s="68"/>
      <c r="BA22" s="68"/>
      <c r="BB22" s="68"/>
      <c r="BC22" s="68"/>
      <c r="BD22" s="68"/>
      <c r="BE22" s="68"/>
      <c r="BF22" s="68"/>
      <c r="BG22" s="68"/>
      <c r="BH22" s="69"/>
      <c r="BI22" s="8"/>
      <c r="BJ22" s="4"/>
      <c r="BK22" s="4"/>
      <c r="BL22" s="125" t="s">
        <v>95</v>
      </c>
      <c r="BM22" s="126" t="s">
        <v>110</v>
      </c>
      <c r="BN22" s="5" t="str">
        <f ca="1">AO58</f>
        <v>Chile</v>
      </c>
      <c r="BO22" s="4"/>
      <c r="BP22" s="4"/>
      <c r="BQ22" s="4"/>
      <c r="BR22" s="4"/>
      <c r="BS22" s="4"/>
      <c r="BT22" s="4"/>
      <c r="BU22" s="4"/>
      <c r="BV22" s="4"/>
    </row>
    <row r="23" spans="1:74" ht="17.399999999999999" customHeight="1" thickBot="1">
      <c r="A23" s="6"/>
      <c r="B23" s="72">
        <f t="shared" si="0"/>
        <v>15</v>
      </c>
      <c r="C23" s="73" t="s">
        <v>111</v>
      </c>
      <c r="D23" s="74">
        <v>0.5625</v>
      </c>
      <c r="E23" s="75"/>
      <c r="F23" s="76" t="s">
        <v>112</v>
      </c>
      <c r="G23" s="93"/>
      <c r="H23" s="94"/>
      <c r="I23" s="78" t="s">
        <v>113</v>
      </c>
      <c r="J23" s="78"/>
      <c r="K23" s="78"/>
      <c r="L23" s="95"/>
      <c r="M23" s="96"/>
      <c r="N23" s="78"/>
      <c r="O23" s="81" t="s">
        <v>114</v>
      </c>
      <c r="P23" s="132" t="s">
        <v>115</v>
      </c>
      <c r="Q23" s="83"/>
      <c r="R23" s="52"/>
      <c r="S23" s="14"/>
      <c r="T23" s="15"/>
      <c r="U23" s="84" t="str">
        <f>I13</f>
        <v>USA</v>
      </c>
      <c r="V23" s="85" t="str">
        <f>IF(W22="","",IF(W22=0,3,IF(W22=1,1,IF(W22=3,0,))))</f>
        <v/>
      </c>
      <c r="W23" s="54"/>
      <c r="X23" s="55" t="str">
        <f>IF(G48="","",IF(G48=H48,1,IF(G48&gt;H48,3,IF(G48&lt;H48,0,))))</f>
        <v/>
      </c>
      <c r="Y23" s="85" t="str">
        <f>IF(W25="","",IF(W25=0,3,IF(W25=1,1,IF(W25=3,0,))))</f>
        <v/>
      </c>
      <c r="Z23" s="56">
        <f>SUM(V23:Y23)</f>
        <v>0</v>
      </c>
      <c r="AA23" s="57">
        <f>COUNT(V23:Y23)</f>
        <v>0</v>
      </c>
      <c r="AB23" s="58">
        <f>COUNTIF(V23:Y23,3)</f>
        <v>0</v>
      </c>
      <c r="AC23" s="59">
        <f>COUNTIF(V23:Y23,0)</f>
        <v>0</v>
      </c>
      <c r="AD23" s="59">
        <f>COUNTIF(V23:Y23,1)</f>
        <v>0</v>
      </c>
      <c r="AE23" s="59">
        <f>SUM(H13+G48+H31)</f>
        <v>0</v>
      </c>
      <c r="AF23" s="59">
        <f>G13+H48+G31</f>
        <v>0</v>
      </c>
      <c r="AG23" s="34">
        <f>AE23-AF23</f>
        <v>0</v>
      </c>
      <c r="AH23" s="15"/>
      <c r="AI23" s="60">
        <f>AI22-0.001</f>
        <v>9.9000000000000005E-2</v>
      </c>
      <c r="AJ23" s="61">
        <f>(Z23*10000)+(AG23*100)+(AE23*10)+AI23</f>
        <v>9.9000000000000005E-2</v>
      </c>
      <c r="AK23" s="62">
        <f>RANK(AJ23,AJ$21:AJ$25)</f>
        <v>2</v>
      </c>
      <c r="AL23" s="15"/>
      <c r="AM23" s="36">
        <v>2</v>
      </c>
      <c r="AN23" s="7"/>
      <c r="AO23" s="63" t="str">
        <f ca="1">OFFSET(U$21,MATCH(AM23,$AK$22:$AK$25,0),0)</f>
        <v>USA</v>
      </c>
      <c r="AP23" s="64">
        <f ca="1">OFFSET(AA$21,MATCH(AM23,$AK$22:$AK$25,0),0)</f>
        <v>0</v>
      </c>
      <c r="AQ23" s="65">
        <f ca="1">OFFSET(AB$21,MATCH(AM23,$AK$22:$AK$25,0),0)</f>
        <v>0</v>
      </c>
      <c r="AR23" s="65">
        <f ca="1">OFFSET(AC$21,MATCH(AM23,$AK$22:$AK$25,0),0)</f>
        <v>0</v>
      </c>
      <c r="AS23" s="65">
        <f ca="1">OFFSET(AD$21,MATCH(AM23,$AK$22:$AK$25,0),0)</f>
        <v>0</v>
      </c>
      <c r="AT23" s="65">
        <f ca="1">OFFSET(AE$21,MATCH(AM23,$AK$22:$AK$25,0),0)</f>
        <v>0</v>
      </c>
      <c r="AU23" s="65">
        <f ca="1">OFFSET(AF$21,MATCH(AM23,$AK$22:$AK$25,0),0)</f>
        <v>0</v>
      </c>
      <c r="AV23" s="65">
        <f ca="1">OFFSET(AG$21,MATCH(AM23,$AK$22:$AK$25,0),0)</f>
        <v>0</v>
      </c>
      <c r="AW23" s="66">
        <f ca="1">OFFSET(Z$21,MATCH(AM23,$AK$22:$AK$25,0),0)</f>
        <v>0</v>
      </c>
      <c r="AY23" s="87">
        <v>57</v>
      </c>
      <c r="AZ23" s="73" t="s">
        <v>116</v>
      </c>
      <c r="BA23" s="75">
        <v>0.66666666666666663</v>
      </c>
      <c r="BB23" s="133" t="s">
        <v>62</v>
      </c>
      <c r="BC23" s="89" t="str">
        <f>IF(BD13&lt;&gt;"",IF(BD13&gt;BE13,BC13,IF(BE13&gt;BD13,BF13,"Draw - Recheck")),"Winner M 5 ")</f>
        <v xml:space="preserve">Winner M 5 </v>
      </c>
      <c r="BD23" s="90"/>
      <c r="BE23" s="91"/>
      <c r="BF23" s="89" t="str">
        <f>IF(BD14&lt;&gt;"",IF(BD14&gt;BE14,BC14,IF(BE14&gt;BD14,BF14,"Draw - Recheck")),"Winner M 7")</f>
        <v>Winner M 7</v>
      </c>
      <c r="BG23" s="81" t="s">
        <v>38</v>
      </c>
      <c r="BH23" s="92"/>
      <c r="BI23" s="8"/>
      <c r="BJ23" s="4"/>
      <c r="BK23" s="4"/>
      <c r="BL23" s="4"/>
      <c r="BO23" s="4"/>
      <c r="BP23" s="4"/>
      <c r="BQ23" s="4"/>
      <c r="BR23" s="4"/>
      <c r="BS23" s="4"/>
      <c r="BT23" s="4"/>
      <c r="BU23" s="4"/>
      <c r="BV23" s="4"/>
    </row>
    <row r="24" spans="1:74" ht="17.399999999999999" customHeight="1" thickBot="1">
      <c r="A24" s="6"/>
      <c r="B24" s="72">
        <f t="shared" si="0"/>
        <v>16</v>
      </c>
      <c r="C24" s="73" t="s">
        <v>111</v>
      </c>
      <c r="D24" s="74">
        <v>0.66666666666666663</v>
      </c>
      <c r="E24" s="75"/>
      <c r="F24" s="76" t="s">
        <v>117</v>
      </c>
      <c r="G24" s="134"/>
      <c r="H24" s="135"/>
      <c r="I24" s="78" t="s">
        <v>118</v>
      </c>
      <c r="J24" s="78"/>
      <c r="K24" s="78"/>
      <c r="L24" s="95"/>
      <c r="M24" s="96"/>
      <c r="N24" s="78"/>
      <c r="O24" s="81" t="s">
        <v>66</v>
      </c>
      <c r="P24" s="136" t="s">
        <v>115</v>
      </c>
      <c r="Q24" s="83"/>
      <c r="R24" s="52"/>
      <c r="S24" s="14"/>
      <c r="T24" s="15"/>
      <c r="U24" s="53" t="str">
        <f>F14</f>
        <v>Algeria</v>
      </c>
      <c r="V24" s="85" t="str">
        <f>IF(X22="","",IF(X22=0,3,IF(X22=1,1,IF(X22=3,0,))))</f>
        <v/>
      </c>
      <c r="W24" s="85" t="str">
        <f>IF(X23="","",IF(X23=0,3,IF(X23=1,1,IF(X23=3,0,))))</f>
        <v/>
      </c>
      <c r="X24" s="54"/>
      <c r="Y24" s="55" t="str">
        <f>IF(G14="","",IF(G14=H14,1,IF(G14&gt;H14,3,IF(G14&lt;H14,0,))))</f>
        <v/>
      </c>
      <c r="Z24" s="56">
        <f>SUM(V24:Y24)</f>
        <v>0</v>
      </c>
      <c r="AA24" s="57">
        <f>COUNT(V24:Y24)</f>
        <v>0</v>
      </c>
      <c r="AB24" s="58">
        <f>COUNTIF(V24:Y24,3)</f>
        <v>0</v>
      </c>
      <c r="AC24" s="59">
        <f>COUNTIF(V24:Y24,0)</f>
        <v>0</v>
      </c>
      <c r="AD24" s="59">
        <f>COUNTIF(V24:Y24,1)</f>
        <v>0</v>
      </c>
      <c r="AE24" s="59">
        <f>SUM(G14+H48+H32)</f>
        <v>0</v>
      </c>
      <c r="AF24" s="59">
        <f>H14+G32+G48</f>
        <v>0</v>
      </c>
      <c r="AG24" s="34">
        <f>AE24-AF24</f>
        <v>0</v>
      </c>
      <c r="AH24" s="15"/>
      <c r="AI24" s="60">
        <f>AI23-0.001</f>
        <v>9.8000000000000004E-2</v>
      </c>
      <c r="AJ24" s="61">
        <f>(Z24*10000)+(AG24*100)+(AE24*10)+AI24</f>
        <v>9.8000000000000004E-2</v>
      </c>
      <c r="AK24" s="62">
        <f>RANK(AJ24,AJ$21:AJ$25)</f>
        <v>3</v>
      </c>
      <c r="AL24" s="15"/>
      <c r="AM24" s="36">
        <v>3</v>
      </c>
      <c r="AN24" s="7"/>
      <c r="AO24" s="63" t="str">
        <f ca="1">OFFSET(U$21,MATCH(AM24,$AK$22:$AK$25,0),0)</f>
        <v>Algeria</v>
      </c>
      <c r="AP24" s="64">
        <f ca="1">OFFSET(AA$21,MATCH(AM24,$AK$22:$AK$25,0),0)</f>
        <v>0</v>
      </c>
      <c r="AQ24" s="65">
        <f ca="1">OFFSET(AB$21,MATCH(AM24,$AK$22:$AK$25,0),0)</f>
        <v>0</v>
      </c>
      <c r="AR24" s="65">
        <f ca="1">OFFSET(AC$21,MATCH(AM24,$AK$22:$AK$25,0),0)</f>
        <v>0</v>
      </c>
      <c r="AS24" s="65">
        <f ca="1">OFFSET(AD$21,MATCH(AM24,$AK$22:$AK$25,0),0)</f>
        <v>0</v>
      </c>
      <c r="AT24" s="65">
        <f ca="1">OFFSET(AE$21,MATCH(AM24,$AK$22:$AK$25,0),0)</f>
        <v>0</v>
      </c>
      <c r="AU24" s="65">
        <f ca="1">OFFSET(AF$21,MATCH(AM24,$AK$22:$AK$25,0),0)</f>
        <v>0</v>
      </c>
      <c r="AV24" s="65">
        <f ca="1">OFFSET(AG$21,MATCH(AM24,$AK$22:$AK$25,0),0)</f>
        <v>0</v>
      </c>
      <c r="AW24" s="66">
        <f ca="1">OFFSET(Z$21,MATCH(AM24,$AK$22:$AK$25,0),0)</f>
        <v>0</v>
      </c>
      <c r="AY24" s="87">
        <v>58</v>
      </c>
      <c r="AZ24" s="73" t="s">
        <v>116</v>
      </c>
      <c r="BA24" s="75">
        <v>0.85416666666666663</v>
      </c>
      <c r="BB24" s="137" t="s">
        <v>18</v>
      </c>
      <c r="BC24" s="89" t="str">
        <f>IF(BD9&lt;&gt;"",IF(BD9&gt;BE9,BC9,IF(BE9&gt;BD9,BF9,"Draw - Recheck")),"Winner M 1 ")</f>
        <v xml:space="preserve">Winner M 1 </v>
      </c>
      <c r="BD24" s="90"/>
      <c r="BE24" s="91"/>
      <c r="BF24" s="89" t="str">
        <f>IF(BD10&lt;&gt;"",IF(BD10&gt;BE10,BC10,IF(BE10&gt;BD10,BF10,"Draw - Recheck")),"Winner M 3")</f>
        <v>Winner M 3</v>
      </c>
      <c r="BG24" s="81" t="s">
        <v>35</v>
      </c>
      <c r="BH24" s="92"/>
      <c r="BI24" s="8"/>
      <c r="BJ24" s="4"/>
      <c r="BK24" s="4"/>
      <c r="BL24" s="4"/>
      <c r="BN24" s="138"/>
      <c r="BO24" s="4"/>
      <c r="BP24" s="4"/>
      <c r="BQ24" s="4"/>
      <c r="BR24" s="4"/>
      <c r="BS24" s="4"/>
      <c r="BT24" s="4"/>
      <c r="BU24" s="4"/>
      <c r="BV24" s="4"/>
    </row>
    <row r="25" spans="1:74" ht="17.100000000000001" customHeight="1" thickBot="1">
      <c r="A25" s="6"/>
      <c r="B25" s="139" t="s">
        <v>119</v>
      </c>
      <c r="C25" s="140"/>
      <c r="D25" s="140"/>
      <c r="E25" s="140"/>
      <c r="F25" s="140"/>
      <c r="G25" s="141"/>
      <c r="H25" s="142"/>
      <c r="I25" s="143"/>
      <c r="J25" s="143"/>
      <c r="K25" s="143"/>
      <c r="L25" s="143"/>
      <c r="M25" s="143"/>
      <c r="N25" s="143"/>
      <c r="O25" s="143"/>
      <c r="P25" s="143"/>
      <c r="Q25" s="83"/>
      <c r="R25" s="52"/>
      <c r="S25" s="14"/>
      <c r="T25" s="15"/>
      <c r="U25" s="53" t="str">
        <f>I14</f>
        <v>Slovenia</v>
      </c>
      <c r="V25" s="85" t="str">
        <f>IF(Y22="","",IF(Y22=0,3,IF(Y22=1,1,IF(Y22=3,0,))))</f>
        <v/>
      </c>
      <c r="W25" s="55" t="str">
        <f>IF(G31="","",IF(G31=H31,1,IF(G31&gt;H31,3,IF(G31&lt;H31,0,))))</f>
        <v/>
      </c>
      <c r="X25" s="85" t="str">
        <f>IF(Y24="","",IF(Y24=0,3,IF(Y24=1,1,IF(Y24=3,0,))))</f>
        <v/>
      </c>
      <c r="Y25" s="54"/>
      <c r="Z25" s="56">
        <f>SUM(V25:Y25)</f>
        <v>0</v>
      </c>
      <c r="AA25" s="57">
        <f>COUNT(V25:Y25)</f>
        <v>0</v>
      </c>
      <c r="AB25" s="58">
        <f>COUNTIF(V25:Y25,3)</f>
        <v>0</v>
      </c>
      <c r="AC25" s="59">
        <f>COUNTIF(V25:Y25,0)</f>
        <v>0</v>
      </c>
      <c r="AD25" s="59">
        <f>COUNTIF(V25:Y25,1)</f>
        <v>0</v>
      </c>
      <c r="AE25" s="59">
        <f>SUM(H14+H47+G31)</f>
        <v>0</v>
      </c>
      <c r="AF25" s="59">
        <f>G47+H31+G14</f>
        <v>0</v>
      </c>
      <c r="AG25" s="34">
        <f>AE25-AF25</f>
        <v>0</v>
      </c>
      <c r="AH25" s="15"/>
      <c r="AI25" s="60">
        <f>AI24-0.001</f>
        <v>9.7000000000000003E-2</v>
      </c>
      <c r="AJ25" s="61">
        <f>(Z25*10000)+(AG25*100)+(AE25*10)+AI25</f>
        <v>9.7000000000000003E-2</v>
      </c>
      <c r="AK25" s="62">
        <f>RANK(AJ25,AJ$21:AJ$25)</f>
        <v>4</v>
      </c>
      <c r="AL25" s="15"/>
      <c r="AM25" s="36">
        <v>4</v>
      </c>
      <c r="AN25" s="7"/>
      <c r="AO25" s="100" t="str">
        <f ca="1">OFFSET(U$21,MATCH(AM25,$AK$22:$AK$25,0),0)</f>
        <v>Slovenia</v>
      </c>
      <c r="AP25" s="101">
        <f ca="1">OFFSET(AA$21,MATCH(AM25,$AK$22:$AK$25,0),0)</f>
        <v>0</v>
      </c>
      <c r="AQ25" s="102">
        <f ca="1">OFFSET(AB$21,MATCH(AM25,$AK$22:$AK$25,0),0)</f>
        <v>0</v>
      </c>
      <c r="AR25" s="102">
        <f ca="1">OFFSET(AC$21,MATCH(AM25,$AK$22:$AK$25,0),0)</f>
        <v>0</v>
      </c>
      <c r="AS25" s="102">
        <f ca="1">OFFSET(AD$21,MATCH(AM25,$AK$22:$AK$25,0),0)</f>
        <v>0</v>
      </c>
      <c r="AT25" s="102">
        <f ca="1">OFFSET(AE$21,MATCH(AM25,$AK$22:$AK$25,0),0)</f>
        <v>0</v>
      </c>
      <c r="AU25" s="102">
        <f ca="1">OFFSET(AF$21,MATCH(AM25,$AK$22:$AK$25,0),0)</f>
        <v>0</v>
      </c>
      <c r="AV25" s="102">
        <f ca="1">OFFSET(AG$21,MATCH(AM25,$AK$22:$AK$25,0),0)</f>
        <v>0</v>
      </c>
      <c r="AW25" s="103">
        <f ca="1">OFFSET(Z$21,MATCH(AM25,$AK$22:$AK$25,0),0)</f>
        <v>0</v>
      </c>
      <c r="AY25" s="87">
        <v>59</v>
      </c>
      <c r="AZ25" s="73" t="s">
        <v>120</v>
      </c>
      <c r="BA25" s="75">
        <v>0.66666666666666663</v>
      </c>
      <c r="BB25" s="144" t="s">
        <v>49</v>
      </c>
      <c r="BC25" s="89" t="str">
        <f>IF(BD12&lt;&gt;"",IF(BD12&gt;BE12,BC12,IF(BE12&gt;BD12,BF12,"Draw - Recheck")),"Winner M 2 ")</f>
        <v xml:space="preserve">Winner M 2 </v>
      </c>
      <c r="BD25" s="90"/>
      <c r="BE25" s="91"/>
      <c r="BF25" s="89" t="str">
        <f>IF(BD11&lt;&gt;"",IF(BD11&gt;BE11,BC11,IF(BE11&gt;BD11,BF11,"Draw - Recheck")),"Winner M 4")</f>
        <v>Winner M 4</v>
      </c>
      <c r="BG25" s="81" t="s">
        <v>42</v>
      </c>
      <c r="BH25" s="92"/>
      <c r="BI25" s="8"/>
      <c r="BJ25" s="4"/>
      <c r="BK25" s="4"/>
      <c r="BL25" s="4"/>
      <c r="BN25" s="14"/>
      <c r="BO25" s="4"/>
      <c r="BP25" s="4"/>
      <c r="BQ25" s="4"/>
      <c r="BR25" s="4"/>
      <c r="BS25" s="4"/>
      <c r="BT25" s="4"/>
      <c r="BU25" s="4"/>
      <c r="BV25" s="4"/>
    </row>
    <row r="26" spans="1:74" ht="17.399999999999999" customHeight="1" thickBot="1">
      <c r="A26" s="6"/>
      <c r="B26" s="72">
        <f>B24+1</f>
        <v>17</v>
      </c>
      <c r="C26" s="73" t="s">
        <v>111</v>
      </c>
      <c r="D26" s="74">
        <v>0.85416666666666663</v>
      </c>
      <c r="E26" s="75"/>
      <c r="F26" s="76" t="s">
        <v>33</v>
      </c>
      <c r="G26" s="145"/>
      <c r="H26" s="77"/>
      <c r="I26" s="78" t="s">
        <v>40</v>
      </c>
      <c r="J26" s="78"/>
      <c r="K26" s="78"/>
      <c r="L26" s="95"/>
      <c r="M26" s="96"/>
      <c r="N26" s="78"/>
      <c r="O26" s="81" t="s">
        <v>78</v>
      </c>
      <c r="P26" s="82" t="s">
        <v>18</v>
      </c>
      <c r="Q26" s="83"/>
      <c r="R26" s="52"/>
      <c r="S26" s="14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4"/>
      <c r="AN26" s="7"/>
      <c r="AO26" s="7"/>
      <c r="AP26" s="7"/>
      <c r="AQ26" s="7"/>
      <c r="AR26" s="7"/>
      <c r="AS26" s="7"/>
      <c r="AT26" s="7"/>
      <c r="AU26" s="7"/>
      <c r="AV26" s="7"/>
      <c r="AW26" s="7"/>
      <c r="AY26" s="87">
        <v>60</v>
      </c>
      <c r="AZ26" s="73" t="s">
        <v>120</v>
      </c>
      <c r="BA26" s="75">
        <v>0.85416666666666663</v>
      </c>
      <c r="BB26" s="146" t="s">
        <v>16</v>
      </c>
      <c r="BC26" s="89" t="str">
        <f>IF(BD15&lt;&gt;"",IF(BD15&gt;BE15,BC15,IF(BE15&gt;BD15,BF15,"Draw - Recheck")),"Winner M 6 ")</f>
        <v xml:space="preserve">Winner M 6 </v>
      </c>
      <c r="BD26" s="90"/>
      <c r="BE26" s="91"/>
      <c r="BF26" s="89" t="str">
        <f>IF(BD16&lt;&gt;"",IF(BD16&gt;BE16,BC16,IF(BE16&gt;BD16,BF16,"Draw - Recheck")),"Winner M 8")</f>
        <v>Winner M 8</v>
      </c>
      <c r="BG26" s="81" t="s">
        <v>35</v>
      </c>
      <c r="BH26" s="92"/>
      <c r="BI26" s="8"/>
      <c r="BJ26" s="4"/>
      <c r="BK26" s="4"/>
      <c r="BL26" s="4"/>
      <c r="BM26" s="147" t="s">
        <v>121</v>
      </c>
      <c r="BN26" s="138"/>
      <c r="BO26" s="4"/>
      <c r="BP26" s="4"/>
      <c r="BQ26" s="4"/>
      <c r="BR26" s="4"/>
      <c r="BS26" s="4"/>
      <c r="BT26" s="4"/>
      <c r="BU26" s="4"/>
      <c r="BV26" s="4"/>
    </row>
    <row r="27" spans="1:74" ht="17.399999999999999" customHeight="1" thickBot="1">
      <c r="A27" s="6"/>
      <c r="B27" s="72">
        <f t="shared" ref="B27:B41" si="1">B26+1</f>
        <v>18</v>
      </c>
      <c r="C27" s="73" t="s">
        <v>122</v>
      </c>
      <c r="D27" s="74">
        <v>0.85416666666666663</v>
      </c>
      <c r="E27" s="75"/>
      <c r="F27" s="76" t="s">
        <v>41</v>
      </c>
      <c r="G27" s="93"/>
      <c r="H27" s="94"/>
      <c r="I27" s="78" t="s">
        <v>34</v>
      </c>
      <c r="J27" s="78"/>
      <c r="K27" s="78"/>
      <c r="L27" s="95"/>
      <c r="M27" s="96"/>
      <c r="N27" s="78"/>
      <c r="O27" s="81" t="s">
        <v>71</v>
      </c>
      <c r="P27" s="97" t="s">
        <v>18</v>
      </c>
      <c r="Q27" s="83"/>
      <c r="R27" s="52"/>
      <c r="S27" s="14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4"/>
      <c r="AN27" s="7"/>
      <c r="AO27" s="19"/>
      <c r="AP27" s="212"/>
      <c r="AQ27" s="212"/>
      <c r="AR27" s="211" t="s">
        <v>123</v>
      </c>
      <c r="AS27" s="212"/>
      <c r="AT27" s="212"/>
      <c r="AU27" s="212"/>
      <c r="AV27" s="212"/>
      <c r="AW27" s="213"/>
      <c r="AY27" s="121"/>
      <c r="AZ27" s="148"/>
      <c r="BA27" s="149"/>
      <c r="BB27" s="149"/>
      <c r="BC27" s="122"/>
      <c r="BD27" s="122"/>
      <c r="BE27" s="122"/>
      <c r="BF27" s="122"/>
      <c r="BG27" s="122"/>
      <c r="BH27" s="123"/>
      <c r="BI27" s="8"/>
      <c r="BJ27" s="4"/>
      <c r="BK27" s="4"/>
      <c r="BL27" s="4"/>
      <c r="BM27" s="46" t="s">
        <v>124</v>
      </c>
      <c r="BN27" s="138" t="str">
        <f>BC24</f>
        <v xml:space="preserve">Winner M 1 </v>
      </c>
      <c r="BO27" s="4"/>
      <c r="BP27" s="4"/>
      <c r="BQ27" s="4"/>
      <c r="BR27" s="4"/>
      <c r="BS27" s="4"/>
      <c r="BT27" s="4"/>
      <c r="BU27" s="4"/>
      <c r="BV27" s="4"/>
    </row>
    <row r="28" spans="1:74" ht="19.5" customHeight="1">
      <c r="A28" s="6"/>
      <c r="B28" s="72">
        <f t="shared" si="1"/>
        <v>19</v>
      </c>
      <c r="C28" s="73" t="s">
        <v>122</v>
      </c>
      <c r="D28" s="74">
        <v>0.66666666666666663</v>
      </c>
      <c r="E28" s="75"/>
      <c r="F28" s="76" t="s">
        <v>56</v>
      </c>
      <c r="G28" s="93"/>
      <c r="H28" s="94"/>
      <c r="I28" s="78" t="s">
        <v>48</v>
      </c>
      <c r="J28" s="78"/>
      <c r="K28" s="78"/>
      <c r="L28" s="95"/>
      <c r="M28" s="96"/>
      <c r="N28" s="78"/>
      <c r="O28" s="81" t="s">
        <v>52</v>
      </c>
      <c r="P28" s="99" t="s">
        <v>49</v>
      </c>
      <c r="Q28" s="83"/>
      <c r="R28" s="52"/>
      <c r="S28" s="14"/>
      <c r="T28" s="15"/>
      <c r="U28" s="30" t="s">
        <v>11</v>
      </c>
      <c r="V28" s="31" t="str">
        <f>U29</f>
        <v>Germany</v>
      </c>
      <c r="W28" s="31" t="str">
        <f>U30</f>
        <v>Australia</v>
      </c>
      <c r="X28" s="31" t="str">
        <f>U31</f>
        <v>Serbia</v>
      </c>
      <c r="Y28" s="31" t="str">
        <f>U32</f>
        <v>Ghana</v>
      </c>
      <c r="Z28" s="32" t="s">
        <v>12</v>
      </c>
      <c r="AA28" s="33" t="s">
        <v>13</v>
      </c>
      <c r="AB28" s="33" t="s">
        <v>14</v>
      </c>
      <c r="AC28" s="33" t="s">
        <v>15</v>
      </c>
      <c r="AD28" s="33" t="s">
        <v>16</v>
      </c>
      <c r="AE28" s="33" t="s">
        <v>17</v>
      </c>
      <c r="AF28" s="33" t="s">
        <v>18</v>
      </c>
      <c r="AG28" s="34" t="s">
        <v>19</v>
      </c>
      <c r="AH28" s="15"/>
      <c r="AI28" s="35" t="s">
        <v>20</v>
      </c>
      <c r="AJ28" s="35" t="s">
        <v>21</v>
      </c>
      <c r="AK28" s="35" t="s">
        <v>22</v>
      </c>
      <c r="AL28" s="15"/>
      <c r="AM28" s="36" t="s">
        <v>23</v>
      </c>
      <c r="AN28" s="7"/>
      <c r="AO28" s="37"/>
      <c r="AP28" s="38" t="s">
        <v>13</v>
      </c>
      <c r="AQ28" s="39" t="s">
        <v>14</v>
      </c>
      <c r="AR28" s="39" t="s">
        <v>15</v>
      </c>
      <c r="AS28" s="39" t="s">
        <v>16</v>
      </c>
      <c r="AT28" s="39" t="s">
        <v>17</v>
      </c>
      <c r="AU28" s="39" t="s">
        <v>18</v>
      </c>
      <c r="AV28" s="39" t="s">
        <v>19</v>
      </c>
      <c r="AW28" s="40" t="s">
        <v>24</v>
      </c>
      <c r="BD28" s="7"/>
      <c r="BE28" s="7"/>
      <c r="BF28" s="7"/>
      <c r="BG28" s="7"/>
      <c r="BH28" s="7"/>
      <c r="BI28" s="8"/>
      <c r="BJ28" s="4"/>
      <c r="BK28" s="4"/>
      <c r="BL28" s="4"/>
      <c r="BM28" s="105" t="s">
        <v>125</v>
      </c>
      <c r="BN28" s="138" t="str">
        <f>BF24</f>
        <v>Winner M 3</v>
      </c>
      <c r="BO28" s="4"/>
      <c r="BP28" s="4"/>
      <c r="BQ28" s="4"/>
      <c r="BR28" s="4"/>
      <c r="BS28" s="4"/>
      <c r="BT28" s="4"/>
      <c r="BU28" s="4"/>
      <c r="BV28" s="4"/>
    </row>
    <row r="29" spans="1:74" ht="18" customHeight="1" thickBot="1">
      <c r="A29" s="6"/>
      <c r="B29" s="72">
        <f t="shared" si="1"/>
        <v>20</v>
      </c>
      <c r="C29" s="73" t="s">
        <v>122</v>
      </c>
      <c r="D29" s="74">
        <v>0.5625</v>
      </c>
      <c r="E29" s="75"/>
      <c r="F29" s="76" t="s">
        <v>47</v>
      </c>
      <c r="G29" s="93"/>
      <c r="H29" s="94"/>
      <c r="I29" s="229" t="s">
        <v>55</v>
      </c>
      <c r="J29" s="78"/>
      <c r="K29" s="78"/>
      <c r="L29" s="95"/>
      <c r="M29" s="96"/>
      <c r="N29" s="78"/>
      <c r="O29" s="81" t="s">
        <v>35</v>
      </c>
      <c r="P29" s="99" t="s">
        <v>49</v>
      </c>
      <c r="Q29" s="83"/>
      <c r="R29" s="52"/>
      <c r="S29" s="14"/>
      <c r="T29" s="15"/>
      <c r="U29" s="53" t="str">
        <f>F15</f>
        <v>Germany</v>
      </c>
      <c r="V29" s="54"/>
      <c r="W29" s="55" t="str">
        <f>IF(G15="","",IF(G15=H15,1,IF(G15&gt;H15,3,IF(G15&lt;H15,0,))))</f>
        <v/>
      </c>
      <c r="X29" s="55" t="str">
        <f>IF(G30="","",IF(G30=H30,1,IF(G30&gt;H30,3,IF(G30&lt;H30,0,))))</f>
        <v/>
      </c>
      <c r="Y29" s="55" t="str">
        <f>IF(G49="","",IF(G49=H49,1,IF(G49&gt;H49,3,IF(G49&lt;H49,0,))))</f>
        <v/>
      </c>
      <c r="Z29" s="56">
        <f>SUM(V29:Y29)</f>
        <v>0</v>
      </c>
      <c r="AA29" s="57">
        <f>COUNT(V29:Y29)</f>
        <v>0</v>
      </c>
      <c r="AB29" s="58">
        <f>COUNTIF(V29:Y29,3)</f>
        <v>0</v>
      </c>
      <c r="AC29" s="59">
        <f>COUNTIF(V29:Y29,0)</f>
        <v>0</v>
      </c>
      <c r="AD29" s="59">
        <f>COUNTIF(V29:Y29,1)</f>
        <v>0</v>
      </c>
      <c r="AE29" s="59">
        <f>SUM(G15+G30+G49)</f>
        <v>0</v>
      </c>
      <c r="AF29" s="59">
        <f>H49+H15+H30</f>
        <v>0</v>
      </c>
      <c r="AG29" s="34">
        <f>AE29-AF29</f>
        <v>0</v>
      </c>
      <c r="AH29" s="15"/>
      <c r="AI29" s="60">
        <v>0.1</v>
      </c>
      <c r="AJ29" s="61">
        <f>(Z29*10000)+(AG29*100)+(AE29*10)+AI29</f>
        <v>0.1</v>
      </c>
      <c r="AK29" s="62">
        <f>RANK(AJ29,AJ$28:AJ$32)</f>
        <v>1</v>
      </c>
      <c r="AL29" s="15"/>
      <c r="AM29" s="36">
        <v>1</v>
      </c>
      <c r="AN29" s="7"/>
      <c r="AO29" s="63" t="str">
        <f ca="1">OFFSET(U$28,MATCH(AM29,$AK$29:$AK$32,0),0)</f>
        <v>Germany</v>
      </c>
      <c r="AP29" s="64">
        <f ca="1">OFFSET(AA$28,MATCH(AM29,$AK$29:$AK$32,0),0)</f>
        <v>0</v>
      </c>
      <c r="AQ29" s="65">
        <f ca="1">OFFSET(AB$28,MATCH(AM29,$AK$29:$AK$32,0),0)</f>
        <v>0</v>
      </c>
      <c r="AR29" s="65">
        <f ca="1">OFFSET(AC$28,MATCH(AM29,$AK$29:$AK$32,0),0)</f>
        <v>0</v>
      </c>
      <c r="AS29" s="65">
        <f ca="1">OFFSET(AD$28,MATCH(AM29,$AK$29:$AK$32,0),0)</f>
        <v>0</v>
      </c>
      <c r="AT29" s="65">
        <f ca="1">OFFSET(AE$28,MATCH(AM29,$AK$29:$AK$32,0),0)</f>
        <v>0</v>
      </c>
      <c r="AU29" s="65">
        <f ca="1">OFFSET(AF$28,MATCH(AM29,$AK$29:$AK$32,0),0)</f>
        <v>0</v>
      </c>
      <c r="AV29" s="65">
        <f ca="1">OFFSET(AG$28,MATCH(AM29,$AK$29:$AK$32,0),0)</f>
        <v>0</v>
      </c>
      <c r="AW29" s="66">
        <f ca="1">OFFSET(Z$28,MATCH(AM29,$AK$29:$AK$32,0),0)</f>
        <v>0</v>
      </c>
      <c r="AX29" s="127"/>
      <c r="AY29" s="127"/>
      <c r="BC29" s="127"/>
      <c r="BD29" s="7"/>
      <c r="BE29" s="7"/>
      <c r="BF29" s="7"/>
      <c r="BG29" s="7"/>
      <c r="BH29" s="7"/>
      <c r="BI29" s="8"/>
      <c r="BJ29" s="4"/>
      <c r="BK29" s="4"/>
      <c r="BL29" s="4"/>
      <c r="BM29" s="108" t="s">
        <v>126</v>
      </c>
      <c r="BN29" s="138" t="str">
        <f>BF25</f>
        <v>Winner M 4</v>
      </c>
      <c r="BO29" s="4"/>
      <c r="BP29" s="4"/>
      <c r="BQ29" s="4"/>
      <c r="BR29" s="4"/>
      <c r="BS29" s="4"/>
      <c r="BT29" s="4"/>
      <c r="BU29" s="4"/>
      <c r="BV29" s="4"/>
    </row>
    <row r="30" spans="1:74" ht="17.399999999999999" customHeight="1" thickBot="1">
      <c r="A30" s="6"/>
      <c r="B30" s="72">
        <f t="shared" si="1"/>
        <v>21</v>
      </c>
      <c r="C30" s="73" t="s">
        <v>127</v>
      </c>
      <c r="D30" s="74">
        <v>0.5625</v>
      </c>
      <c r="E30" s="75"/>
      <c r="F30" s="76" t="s">
        <v>74</v>
      </c>
      <c r="G30" s="93"/>
      <c r="H30" s="94"/>
      <c r="I30" s="78" t="s">
        <v>81</v>
      </c>
      <c r="J30" s="78"/>
      <c r="K30" s="78"/>
      <c r="L30" s="95"/>
      <c r="M30" s="96"/>
      <c r="N30" s="78"/>
      <c r="O30" s="81" t="s">
        <v>38</v>
      </c>
      <c r="P30" s="113" t="s">
        <v>16</v>
      </c>
      <c r="Q30" s="83"/>
      <c r="R30" s="52"/>
      <c r="S30" s="14"/>
      <c r="T30" s="15"/>
      <c r="U30" s="84" t="str">
        <f>I15</f>
        <v>Australia</v>
      </c>
      <c r="V30" s="85" t="str">
        <f>IF(W29="","",IF(W29=0,3,IF(W29=1,1,IF(W29=3,0,))))</f>
        <v/>
      </c>
      <c r="W30" s="54"/>
      <c r="X30" s="55" t="str">
        <f>IF(G50="","",IF(G50=H50,1,IF(G50&gt;H50,3,IF(G50&lt;H50,0,))))</f>
        <v/>
      </c>
      <c r="Y30" s="85" t="str">
        <f>IF(W32="","",IF(W32=0,3,IF(W32=1,1,IF(W32=3,0,))))</f>
        <v/>
      </c>
      <c r="Z30" s="56">
        <f>SUM(V30:Y30)</f>
        <v>0</v>
      </c>
      <c r="AA30" s="57">
        <f>COUNT(V30:Y30)</f>
        <v>0</v>
      </c>
      <c r="AB30" s="58">
        <f>COUNTIF(V30:Y30,3)</f>
        <v>0</v>
      </c>
      <c r="AC30" s="59">
        <f>COUNTIF(V30:Y30,0)</f>
        <v>0</v>
      </c>
      <c r="AD30" s="59">
        <f>COUNTIF(V30:Y30,1)</f>
        <v>0</v>
      </c>
      <c r="AE30" s="59">
        <f>SUM(H15+G50+H33)</f>
        <v>0</v>
      </c>
      <c r="AF30" s="59">
        <f>G15+H50+G33</f>
        <v>0</v>
      </c>
      <c r="AG30" s="34">
        <f>AE30-AF30</f>
        <v>0</v>
      </c>
      <c r="AH30" s="15"/>
      <c r="AI30" s="60">
        <f>AI29-0.001</f>
        <v>9.9000000000000005E-2</v>
      </c>
      <c r="AJ30" s="61">
        <f>(Z30*10000)+(AG30*100)+(AE30*10)+AI30</f>
        <v>9.9000000000000005E-2</v>
      </c>
      <c r="AK30" s="62">
        <f>RANK(AJ30,AJ$28:AJ$32)</f>
        <v>2</v>
      </c>
      <c r="AL30" s="15"/>
      <c r="AM30" s="36">
        <v>2</v>
      </c>
      <c r="AN30" s="7"/>
      <c r="AO30" s="63" t="str">
        <f ca="1">OFFSET(U$28,MATCH(AM30,$AK$29:$AK$32,0),0)</f>
        <v>Australia</v>
      </c>
      <c r="AP30" s="64">
        <f ca="1">OFFSET(AA$28,MATCH(AM30,$AK$29:$AK$32,0),0)</f>
        <v>0</v>
      </c>
      <c r="AQ30" s="65">
        <f ca="1">OFFSET(AB$28,MATCH(AM30,$AK$29:$AK$32,0),0)</f>
        <v>0</v>
      </c>
      <c r="AR30" s="65">
        <f ca="1">OFFSET(AC$28,MATCH(AM30,$AK$29:$AK$32,0),0)</f>
        <v>0</v>
      </c>
      <c r="AS30" s="65">
        <f ca="1">OFFSET(AD$28,MATCH(AM30,$AK$29:$AK$32,0),0)</f>
        <v>0</v>
      </c>
      <c r="AT30" s="65">
        <f ca="1">OFFSET(AE$28,MATCH(AM30,$AK$29:$AK$32,0),0)</f>
        <v>0</v>
      </c>
      <c r="AU30" s="65">
        <f ca="1">OFFSET(AF$28,MATCH(AM30,$AK$29:$AK$32,0),0)</f>
        <v>0</v>
      </c>
      <c r="AV30" s="65">
        <f ca="1">OFFSET(AG$28,MATCH(AM30,$AK$29:$AK$32,0),0)</f>
        <v>0</v>
      </c>
      <c r="AW30" s="66">
        <f ca="1">OFFSET(Z$28,MATCH(AM30,$AK$29:$AK$32,0),0)</f>
        <v>0</v>
      </c>
      <c r="AX30" s="127"/>
      <c r="AY30" s="19"/>
      <c r="AZ30" s="266" t="s">
        <v>128</v>
      </c>
      <c r="BA30" s="266"/>
      <c r="BB30" s="266"/>
      <c r="BC30" s="266"/>
      <c r="BD30" s="266"/>
      <c r="BE30" s="266"/>
      <c r="BF30" s="266"/>
      <c r="BG30" s="266"/>
      <c r="BH30" s="150"/>
      <c r="BI30" s="8"/>
      <c r="BJ30" s="4"/>
      <c r="BK30" s="4"/>
      <c r="BL30" s="4"/>
      <c r="BM30" s="70" t="s">
        <v>129</v>
      </c>
      <c r="BN30" s="138" t="str">
        <f>BC25</f>
        <v xml:space="preserve">Winner M 2 </v>
      </c>
      <c r="BO30" s="4"/>
      <c r="BP30" s="4"/>
      <c r="BQ30" s="4"/>
      <c r="BR30" s="4"/>
      <c r="BS30" s="4"/>
      <c r="BT30" s="4"/>
      <c r="BU30" s="4"/>
      <c r="BV30" s="4"/>
    </row>
    <row r="31" spans="1:74" ht="17.399999999999999" customHeight="1" thickBot="1">
      <c r="A31" s="6"/>
      <c r="B31" s="72">
        <f t="shared" si="1"/>
        <v>22</v>
      </c>
      <c r="C31" s="73" t="s">
        <v>127</v>
      </c>
      <c r="D31" s="74">
        <v>0.66666666666666663</v>
      </c>
      <c r="E31" s="75"/>
      <c r="F31" s="76" t="s">
        <v>70</v>
      </c>
      <c r="G31" s="93"/>
      <c r="H31" s="94"/>
      <c r="I31" s="78" t="s">
        <v>61</v>
      </c>
      <c r="J31" s="78"/>
      <c r="K31" s="78"/>
      <c r="L31" s="95"/>
      <c r="M31" s="96"/>
      <c r="N31" s="78"/>
      <c r="O31" s="81" t="s">
        <v>35</v>
      </c>
      <c r="P31" s="110" t="s">
        <v>62</v>
      </c>
      <c r="Q31" s="83"/>
      <c r="R31" s="52"/>
      <c r="S31" s="14"/>
      <c r="T31" s="15"/>
      <c r="U31" s="53" t="str">
        <f>F16</f>
        <v>Serbia</v>
      </c>
      <c r="V31" s="85" t="str">
        <f>IF(X29="","",IF(X29=0,3,IF(X29=1,1,IF(X29=3,0,))))</f>
        <v/>
      </c>
      <c r="W31" s="85" t="str">
        <f>IF(X30="","",IF(X30=0,3,IF(X30=1,1,IF(X30=3,0,))))</f>
        <v/>
      </c>
      <c r="X31" s="54"/>
      <c r="Y31" s="55" t="str">
        <f>IF(G16="","",IF(G16=H16,1,IF(G16&gt;H16,3,IF(G16&lt;H16,0,))))</f>
        <v/>
      </c>
      <c r="Z31" s="56">
        <f>SUM(V31:Y31)</f>
        <v>0</v>
      </c>
      <c r="AA31" s="57">
        <f>COUNT(V31:Y31)</f>
        <v>0</v>
      </c>
      <c r="AB31" s="58">
        <f>COUNTIF(V31:Y31,3)</f>
        <v>0</v>
      </c>
      <c r="AC31" s="59">
        <f>COUNTIF(V31:Y31,0)</f>
        <v>0</v>
      </c>
      <c r="AD31" s="59">
        <f>COUNTIF(V31:Y31,1)</f>
        <v>0</v>
      </c>
      <c r="AE31" s="59">
        <f>SUM(G16+H50+H30)</f>
        <v>0</v>
      </c>
      <c r="AF31" s="59">
        <f>H16+G30+G50</f>
        <v>0</v>
      </c>
      <c r="AG31" s="34">
        <f>AE31-AF31</f>
        <v>0</v>
      </c>
      <c r="AH31" s="15"/>
      <c r="AI31" s="60">
        <f>AI30-0.001</f>
        <v>9.8000000000000004E-2</v>
      </c>
      <c r="AJ31" s="61">
        <f>(Z31*10000)+(AG31*100)+(AE31*10)+AI31</f>
        <v>9.8000000000000004E-2</v>
      </c>
      <c r="AK31" s="62">
        <f>RANK(AJ31,AJ$28:AJ$32)</f>
        <v>3</v>
      </c>
      <c r="AL31" s="15"/>
      <c r="AM31" s="36">
        <v>3</v>
      </c>
      <c r="AN31" s="7"/>
      <c r="AO31" s="63" t="str">
        <f ca="1">OFFSET(U$28,MATCH(AM31,$AK$29:$AK$32,0),0)</f>
        <v>Serbia</v>
      </c>
      <c r="AP31" s="64">
        <f ca="1">OFFSET(AA$28,MATCH(AM31,$AK$29:$AK$32,0),0)</f>
        <v>0</v>
      </c>
      <c r="AQ31" s="65">
        <f ca="1">OFFSET(AB$28,MATCH(AM31,$AK$29:$AK$32,0),0)</f>
        <v>0</v>
      </c>
      <c r="AR31" s="65">
        <f ca="1">OFFSET(AC$28,MATCH(AM31,$AK$29:$AK$32,0),0)</f>
        <v>0</v>
      </c>
      <c r="AS31" s="65">
        <f ca="1">OFFSET(AD$28,MATCH(AM31,$AK$29:$AK$32,0),0)</f>
        <v>0</v>
      </c>
      <c r="AT31" s="65">
        <f ca="1">OFFSET(AE$28,MATCH(AM31,$AK$29:$AK$32,0),0)</f>
        <v>0</v>
      </c>
      <c r="AU31" s="65">
        <f ca="1">OFFSET(AF$28,MATCH(AM31,$AK$29:$AK$32,0),0)</f>
        <v>0</v>
      </c>
      <c r="AV31" s="65">
        <f ca="1">OFFSET(AG$28,MATCH(AM31,$AK$29:$AK$32,0),0)</f>
        <v>0</v>
      </c>
      <c r="AW31" s="66">
        <f ca="1">OFFSET(Z$28,MATCH(AM31,$AK$29:$AK$32,0),0)</f>
        <v>0</v>
      </c>
      <c r="AY31" s="151" t="s">
        <v>3</v>
      </c>
      <c r="AZ31" s="152" t="s">
        <v>4</v>
      </c>
      <c r="BA31" s="153" t="s">
        <v>5</v>
      </c>
      <c r="BB31" s="154" t="s">
        <v>25</v>
      </c>
      <c r="BC31" s="237" t="s">
        <v>26</v>
      </c>
      <c r="BD31" s="237"/>
      <c r="BE31" s="237"/>
      <c r="BF31" s="237"/>
      <c r="BG31" s="152" t="s">
        <v>9</v>
      </c>
      <c r="BH31" s="155"/>
      <c r="BI31" s="8"/>
      <c r="BJ31" s="4"/>
      <c r="BK31" s="4"/>
      <c r="BL31" s="4"/>
      <c r="BM31" s="115" t="s">
        <v>130</v>
      </c>
      <c r="BN31" s="138" t="str">
        <f>BC23</f>
        <v xml:space="preserve">Winner M 5 </v>
      </c>
      <c r="BO31" s="4"/>
      <c r="BP31" s="4"/>
      <c r="BQ31" s="4"/>
      <c r="BR31" s="4"/>
      <c r="BS31" s="4"/>
      <c r="BT31" s="4"/>
      <c r="BU31" s="4"/>
      <c r="BV31" s="4"/>
    </row>
    <row r="32" spans="1:74" ht="17.399999999999999" customHeight="1" thickBot="1">
      <c r="A32" s="6"/>
      <c r="B32" s="72">
        <f t="shared" si="1"/>
        <v>23</v>
      </c>
      <c r="C32" s="73" t="s">
        <v>127</v>
      </c>
      <c r="D32" s="74">
        <v>0.85416666666666663</v>
      </c>
      <c r="E32" s="75"/>
      <c r="F32" s="76" t="s">
        <v>60</v>
      </c>
      <c r="G32" s="93"/>
      <c r="H32" s="94"/>
      <c r="I32" s="78" t="s">
        <v>69</v>
      </c>
      <c r="J32" s="78"/>
      <c r="K32" s="78"/>
      <c r="L32" s="95"/>
      <c r="M32" s="96"/>
      <c r="N32" s="78"/>
      <c r="O32" s="81" t="s">
        <v>42</v>
      </c>
      <c r="P32" s="110" t="s">
        <v>62</v>
      </c>
      <c r="Q32" s="83"/>
      <c r="R32" s="52"/>
      <c r="S32" s="14"/>
      <c r="T32" s="15"/>
      <c r="U32" s="53" t="str">
        <f>I16</f>
        <v>Ghana</v>
      </c>
      <c r="V32" s="85" t="str">
        <f>IF(Y29="","",IF(Y29=0,3,IF(Y29=1,1,IF(Y29=3,0,))))</f>
        <v/>
      </c>
      <c r="W32" s="55" t="str">
        <f>IF(G33="","",IF(G33=H33,1,IF(G33&gt;H33,3,IF(G33&lt;H33,0,))))</f>
        <v/>
      </c>
      <c r="X32" s="85" t="str">
        <f>IF(Y31="","",IF(Y31=0,3,IF(Y31=1,1,IF(Y31=3,0,))))</f>
        <v/>
      </c>
      <c r="Y32" s="54"/>
      <c r="Z32" s="56">
        <f>SUM(V32:Y32)</f>
        <v>0</v>
      </c>
      <c r="AA32" s="57">
        <f>COUNT(V32:Y32)</f>
        <v>0</v>
      </c>
      <c r="AB32" s="58">
        <f>COUNTIF(V32:Y32,3)</f>
        <v>0</v>
      </c>
      <c r="AC32" s="59">
        <f>COUNTIF(V32:Y32,0)</f>
        <v>0</v>
      </c>
      <c r="AD32" s="59">
        <f>COUNTIF(V32:Y32,1)</f>
        <v>0</v>
      </c>
      <c r="AE32" s="59">
        <f>SUM(H16+H49+G33)</f>
        <v>0</v>
      </c>
      <c r="AF32" s="59">
        <f>G49+H33+G16</f>
        <v>0</v>
      </c>
      <c r="AG32" s="34">
        <f>AE32-AF32</f>
        <v>0</v>
      </c>
      <c r="AH32" s="15"/>
      <c r="AI32" s="60">
        <f>AI31-0.001</f>
        <v>9.7000000000000003E-2</v>
      </c>
      <c r="AJ32" s="61">
        <f>(Z32*10000)+(AG32*100)+(AE32*10)+AI32</f>
        <v>9.7000000000000003E-2</v>
      </c>
      <c r="AK32" s="62">
        <f>RANK(AJ32,AJ$28:AJ$32)</f>
        <v>4</v>
      </c>
      <c r="AL32" s="15"/>
      <c r="AM32" s="36">
        <v>4</v>
      </c>
      <c r="AN32" s="7"/>
      <c r="AO32" s="100" t="str">
        <f ca="1">OFFSET(U$28,MATCH(AM32,$AK$29:$AK$32,0),0)</f>
        <v>Ghana</v>
      </c>
      <c r="AP32" s="101">
        <f ca="1">OFFSET(AA$28,MATCH(AM39,$AK$29:$AK$32,0),0)</f>
        <v>0</v>
      </c>
      <c r="AQ32" s="102">
        <f ca="1">OFFSET(AB$28,MATCH(AM32,$AK$29:$AK$32,0),0)</f>
        <v>0</v>
      </c>
      <c r="AR32" s="102">
        <f ca="1">OFFSET(AC$28,MATCH(AM32,$AK$29:$AK$32,0),0)</f>
        <v>0</v>
      </c>
      <c r="AS32" s="102">
        <f ca="1">OFFSET(AD$28,MATCH(AM32,$AK$29:$AK$32,0),0)</f>
        <v>0</v>
      </c>
      <c r="AT32" s="102">
        <f ca="1">OFFSET(AE$28,MATCH(AM32,$AK$29:$AK$32,0),0)</f>
        <v>0</v>
      </c>
      <c r="AU32" s="102">
        <f ca="1">OFFSET(AF$28,MATCH(AM32,$AK$29:$AK$32,0),0)</f>
        <v>0</v>
      </c>
      <c r="AV32" s="102">
        <f ca="1">OFFSET(AG$28,MATCH(AM32,$AK$29:$AK$32,0),0)</f>
        <v>0</v>
      </c>
      <c r="AW32" s="103">
        <f ca="1">OFFSET(Z$28,MATCH(AM32,$AK$29:$AK$32,0),0)</f>
        <v>0</v>
      </c>
      <c r="AY32" s="131"/>
      <c r="AZ32" s="68"/>
      <c r="BA32" s="68"/>
      <c r="BB32" s="68"/>
      <c r="BC32" s="68"/>
      <c r="BD32" s="68"/>
      <c r="BE32" s="68"/>
      <c r="BF32" s="68"/>
      <c r="BG32" s="68"/>
      <c r="BH32" s="69"/>
      <c r="BI32" s="8"/>
      <c r="BJ32" s="4"/>
      <c r="BK32" s="4"/>
      <c r="BL32" s="4"/>
      <c r="BM32" s="125" t="s">
        <v>131</v>
      </c>
      <c r="BN32" s="138" t="str">
        <f>BF23</f>
        <v>Winner M 7</v>
      </c>
      <c r="BO32" s="4"/>
      <c r="BP32" s="4"/>
      <c r="BQ32" s="4"/>
      <c r="BR32" s="4"/>
      <c r="BS32" s="4"/>
      <c r="BT32" s="4"/>
      <c r="BU32" s="4"/>
      <c r="BV32" s="4"/>
    </row>
    <row r="33" spans="1:74" ht="17.399999999999999" customHeight="1" thickBot="1">
      <c r="A33" s="6"/>
      <c r="B33" s="72">
        <f t="shared" si="1"/>
        <v>24</v>
      </c>
      <c r="C33" s="73" t="s">
        <v>132</v>
      </c>
      <c r="D33" s="74">
        <v>0.66666666666666663</v>
      </c>
      <c r="E33" s="75"/>
      <c r="F33" s="76" t="s">
        <v>82</v>
      </c>
      <c r="G33" s="93"/>
      <c r="H33" s="94"/>
      <c r="I33" s="78" t="s">
        <v>75</v>
      </c>
      <c r="J33" s="78"/>
      <c r="K33" s="78"/>
      <c r="L33" s="95"/>
      <c r="M33" s="96"/>
      <c r="N33" s="78"/>
      <c r="O33" s="81" t="s">
        <v>44</v>
      </c>
      <c r="P33" s="113" t="s">
        <v>16</v>
      </c>
      <c r="Q33" s="83"/>
      <c r="R33" s="52"/>
      <c r="S33" s="14"/>
      <c r="T33" s="15"/>
      <c r="U33" s="14"/>
      <c r="V33" s="156"/>
      <c r="W33" s="157"/>
      <c r="X33" s="157"/>
      <c r="Y33" s="14"/>
      <c r="Z33" s="52"/>
      <c r="AA33" s="52"/>
      <c r="AB33" s="52"/>
      <c r="AC33" s="52"/>
      <c r="AD33" s="52"/>
      <c r="AE33" s="52"/>
      <c r="AF33" s="52"/>
      <c r="AG33" s="52"/>
      <c r="AH33" s="15"/>
      <c r="AI33" s="158"/>
      <c r="AJ33" s="159"/>
      <c r="AK33" s="36"/>
      <c r="AL33" s="14"/>
      <c r="AM33" s="36"/>
      <c r="AN33" s="7"/>
      <c r="AO33" s="160"/>
      <c r="AP33" s="161"/>
      <c r="AQ33" s="162"/>
      <c r="AR33" s="162"/>
      <c r="AS33" s="162"/>
      <c r="AT33" s="162"/>
      <c r="AU33" s="162"/>
      <c r="AV33" s="162"/>
      <c r="AW33" s="161"/>
      <c r="AY33" s="87">
        <v>61</v>
      </c>
      <c r="AZ33" s="73" t="s">
        <v>133</v>
      </c>
      <c r="BA33" s="75">
        <v>0.85416666666666663</v>
      </c>
      <c r="BB33" s="146" t="s">
        <v>134</v>
      </c>
      <c r="BC33" s="89" t="str">
        <f>IF(BD24&lt;&gt;"",IF(BD24&gt;BE24,BC24,IF(BE24&gt;BD24,BF24,"Draw - Recheck")),"Winner A ")</f>
        <v xml:space="preserve">Winner A </v>
      </c>
      <c r="BD33" s="232"/>
      <c r="BE33" s="232"/>
      <c r="BF33" s="89" t="str">
        <f>IF(BD23&lt;&gt;"",IF(BD23&gt;BE23,BC23,IF(BE23&gt;BD23,BF23,"Draw - Recheck")),"Winner C")</f>
        <v>Winner C</v>
      </c>
      <c r="BG33" s="81" t="s">
        <v>42</v>
      </c>
      <c r="BH33" s="92"/>
      <c r="BI33" s="8"/>
      <c r="BJ33" s="4"/>
      <c r="BK33" s="4"/>
      <c r="BL33" s="4"/>
      <c r="BM33" s="163" t="s">
        <v>135</v>
      </c>
      <c r="BN33" s="138" t="str">
        <f>BC26</f>
        <v xml:space="preserve">Winner M 6 </v>
      </c>
      <c r="BO33" s="4"/>
      <c r="BP33" s="4"/>
      <c r="BQ33" s="4"/>
      <c r="BR33" s="4"/>
      <c r="BS33" s="4"/>
      <c r="BT33" s="4"/>
      <c r="BU33" s="4"/>
      <c r="BV33" s="4"/>
    </row>
    <row r="34" spans="1:74" ht="17.399999999999999" customHeight="1" thickBot="1">
      <c r="A34" s="6"/>
      <c r="B34" s="72">
        <f t="shared" si="1"/>
        <v>25</v>
      </c>
      <c r="C34" s="73" t="s">
        <v>132</v>
      </c>
      <c r="D34" s="74">
        <v>0.5625</v>
      </c>
      <c r="E34" s="75"/>
      <c r="F34" s="76" t="s">
        <v>166</v>
      </c>
      <c r="G34" s="93"/>
      <c r="H34" s="94"/>
      <c r="I34" s="78" t="s">
        <v>90</v>
      </c>
      <c r="J34" s="78"/>
      <c r="K34" s="78"/>
      <c r="L34" s="95"/>
      <c r="M34" s="96"/>
      <c r="N34" s="78"/>
      <c r="O34" s="81" t="s">
        <v>66</v>
      </c>
      <c r="P34" s="120" t="s">
        <v>88</v>
      </c>
      <c r="Q34" s="83"/>
      <c r="R34" s="52"/>
      <c r="S34" s="14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4"/>
      <c r="AN34" s="7"/>
      <c r="AO34" s="225"/>
      <c r="AP34" s="215"/>
      <c r="AQ34" s="215"/>
      <c r="AR34" s="214" t="s">
        <v>136</v>
      </c>
      <c r="AS34" s="215"/>
      <c r="AT34" s="215"/>
      <c r="AU34" s="215"/>
      <c r="AV34" s="215"/>
      <c r="AW34" s="216"/>
      <c r="AY34" s="87">
        <v>62</v>
      </c>
      <c r="AZ34" s="73" t="s">
        <v>116</v>
      </c>
      <c r="BA34" s="75">
        <v>0.85416666666666663</v>
      </c>
      <c r="BB34" s="137" t="s">
        <v>137</v>
      </c>
      <c r="BC34" s="89" t="str">
        <f>IF(BD25&lt;&gt;"",IF(BD25&gt;BE25,BC25,IF(BE25&gt;BD25,BF25,"Draw - Recheck")),"Winner B ")</f>
        <v xml:space="preserve">Winner B </v>
      </c>
      <c r="BD34" s="232"/>
      <c r="BE34" s="232"/>
      <c r="BF34" s="89" t="str">
        <f>IF(BD26&lt;&gt;"",IF(BD26&gt;BE26,BC26,IF(BE26&gt;BD26,BF26,"Draw - Recheck")),"Winner D")</f>
        <v>Winner D</v>
      </c>
      <c r="BG34" s="81" t="s">
        <v>66</v>
      </c>
      <c r="BH34" s="92"/>
      <c r="BI34" s="8"/>
      <c r="BJ34" s="4"/>
      <c r="BK34" s="4"/>
      <c r="BL34" s="4"/>
      <c r="BM34" s="128" t="s">
        <v>138</v>
      </c>
      <c r="BN34" s="138" t="str">
        <f>BF26</f>
        <v>Winner M 8</v>
      </c>
      <c r="BO34" s="4"/>
      <c r="BP34" s="4"/>
      <c r="BQ34" s="4"/>
      <c r="BR34" s="4"/>
      <c r="BS34" s="4"/>
      <c r="BT34" s="4"/>
      <c r="BU34" s="4"/>
      <c r="BV34" s="4"/>
    </row>
    <row r="35" spans="1:74" ht="20.25" customHeight="1" thickBot="1">
      <c r="A35" s="6"/>
      <c r="B35" s="72">
        <f t="shared" si="1"/>
        <v>26</v>
      </c>
      <c r="C35" s="73" t="s">
        <v>132</v>
      </c>
      <c r="D35" s="74">
        <v>0.85416666666666663</v>
      </c>
      <c r="E35" s="75"/>
      <c r="F35" s="76" t="s">
        <v>91</v>
      </c>
      <c r="G35" s="93"/>
      <c r="H35" s="94"/>
      <c r="I35" s="78" t="s">
        <v>87</v>
      </c>
      <c r="J35" s="78"/>
      <c r="K35" s="78"/>
      <c r="L35" s="95"/>
      <c r="M35" s="96"/>
      <c r="N35" s="78"/>
      <c r="O35" s="81" t="s">
        <v>78</v>
      </c>
      <c r="P35" s="120" t="s">
        <v>88</v>
      </c>
      <c r="Q35" s="83"/>
      <c r="R35" s="52"/>
      <c r="S35" s="14"/>
      <c r="T35" s="15"/>
      <c r="U35" s="164" t="s">
        <v>11</v>
      </c>
      <c r="V35" s="31" t="str">
        <f>U36</f>
        <v>Netherlands</v>
      </c>
      <c r="W35" s="31" t="str">
        <f>U37</f>
        <v>Denmark</v>
      </c>
      <c r="X35" s="31" t="str">
        <f>U38</f>
        <v>Japan</v>
      </c>
      <c r="Y35" s="31" t="str">
        <f>U39</f>
        <v>Cameroon</v>
      </c>
      <c r="Z35" s="32" t="s">
        <v>12</v>
      </c>
      <c r="AA35" s="33" t="s">
        <v>13</v>
      </c>
      <c r="AB35" s="33" t="s">
        <v>14</v>
      </c>
      <c r="AC35" s="33" t="s">
        <v>15</v>
      </c>
      <c r="AD35" s="33" t="s">
        <v>16</v>
      </c>
      <c r="AE35" s="33" t="s">
        <v>17</v>
      </c>
      <c r="AF35" s="33" t="s">
        <v>18</v>
      </c>
      <c r="AG35" s="34" t="s">
        <v>19</v>
      </c>
      <c r="AH35" s="15"/>
      <c r="AI35" s="35" t="s">
        <v>20</v>
      </c>
      <c r="AJ35" s="35" t="s">
        <v>21</v>
      </c>
      <c r="AK35" s="35" t="s">
        <v>22</v>
      </c>
      <c r="AL35" s="15"/>
      <c r="AM35" s="36" t="s">
        <v>23</v>
      </c>
      <c r="AN35" s="7"/>
      <c r="AO35" s="37"/>
      <c r="AP35" s="38" t="s">
        <v>13</v>
      </c>
      <c r="AQ35" s="39" t="s">
        <v>14</v>
      </c>
      <c r="AR35" s="39" t="s">
        <v>15</v>
      </c>
      <c r="AS35" s="39" t="s">
        <v>16</v>
      </c>
      <c r="AT35" s="39" t="s">
        <v>17</v>
      </c>
      <c r="AU35" s="39" t="s">
        <v>18</v>
      </c>
      <c r="AV35" s="39" t="s">
        <v>19</v>
      </c>
      <c r="AW35" s="40" t="s">
        <v>24</v>
      </c>
      <c r="AY35" s="121"/>
      <c r="AZ35" s="122"/>
      <c r="BA35" s="122"/>
      <c r="BB35" s="122"/>
      <c r="BC35" s="122"/>
      <c r="BD35" s="122"/>
      <c r="BE35" s="122"/>
      <c r="BF35" s="122"/>
      <c r="BG35" s="122"/>
      <c r="BH35" s="123"/>
      <c r="BI35" s="8"/>
      <c r="BJ35" s="4"/>
      <c r="BK35" s="4"/>
      <c r="BL35" s="4"/>
      <c r="BM35" s="138"/>
      <c r="BN35" s="138"/>
      <c r="BO35" s="4"/>
      <c r="BP35" s="4"/>
      <c r="BQ35" s="4"/>
      <c r="BR35" s="4"/>
      <c r="BS35" s="4"/>
      <c r="BT35" s="4"/>
      <c r="BU35" s="4"/>
      <c r="BV35" s="4"/>
    </row>
    <row r="36" spans="1:74" ht="18" customHeight="1">
      <c r="A36" s="6"/>
      <c r="B36" s="72">
        <f t="shared" si="1"/>
        <v>27</v>
      </c>
      <c r="C36" s="73" t="s">
        <v>139</v>
      </c>
      <c r="D36" s="74">
        <v>0.5625</v>
      </c>
      <c r="E36" s="75"/>
      <c r="F36" s="76" t="s">
        <v>99</v>
      </c>
      <c r="G36" s="93"/>
      <c r="H36" s="94"/>
      <c r="I36" s="78" t="s">
        <v>94</v>
      </c>
      <c r="J36" s="78"/>
      <c r="K36" s="78"/>
      <c r="L36" s="95"/>
      <c r="M36" s="96"/>
      <c r="N36" s="78"/>
      <c r="O36" s="81" t="s">
        <v>52</v>
      </c>
      <c r="P36" s="124" t="s">
        <v>17</v>
      </c>
      <c r="Q36" s="83"/>
      <c r="R36" s="52"/>
      <c r="S36" s="14"/>
      <c r="T36" s="15"/>
      <c r="U36" s="53" t="str">
        <f>F17</f>
        <v>Netherlands</v>
      </c>
      <c r="V36" s="54"/>
      <c r="W36" s="55" t="str">
        <f>IF(G17="","",IF(G17=H17,1,IF(G17&gt;H17,3,IF(G17&lt;H17,0,))))</f>
        <v/>
      </c>
      <c r="X36" s="55" t="str">
        <f>IF(G34="","",IF(G34=H34,1,IF(G34&gt;H34,3,IF(G34&lt;H34,0,))))</f>
        <v/>
      </c>
      <c r="Y36" s="55" t="str">
        <f>IF(G54="","",IF(G54=H54,1,IF(G54&gt;H54,3,IF(G54&lt;H54,0,))))</f>
        <v/>
      </c>
      <c r="Z36" s="56">
        <f>SUM(V36:Y36)</f>
        <v>0</v>
      </c>
      <c r="AA36" s="57">
        <f>COUNT(V36:Y36)</f>
        <v>0</v>
      </c>
      <c r="AB36" s="58">
        <f>COUNTIF(V36:Y36,3)</f>
        <v>0</v>
      </c>
      <c r="AC36" s="59">
        <f>COUNTIF(V36:Y36,0)</f>
        <v>0</v>
      </c>
      <c r="AD36" s="59">
        <f>COUNTIF(V36:Y36,1)</f>
        <v>0</v>
      </c>
      <c r="AE36" s="59">
        <f>SUM(G17+G34+G54)</f>
        <v>0</v>
      </c>
      <c r="AF36" s="59">
        <f>H17+H34+H54</f>
        <v>0</v>
      </c>
      <c r="AG36" s="34">
        <f>AE36-AF36</f>
        <v>0</v>
      </c>
      <c r="AH36" s="15"/>
      <c r="AI36" s="60">
        <v>0.1</v>
      </c>
      <c r="AJ36" s="61">
        <f>(Z36*10000)+(AG36*100)+(AE36*10)+AI36</f>
        <v>0.1</v>
      </c>
      <c r="AK36" s="62">
        <f>RANK(AJ36,AJ$35:AJ$39)</f>
        <v>1</v>
      </c>
      <c r="AL36" s="15"/>
      <c r="AM36" s="36">
        <v>1</v>
      </c>
      <c r="AN36" s="7"/>
      <c r="AO36" s="63" t="str">
        <f ca="1">OFFSET(U$35,MATCH(AM36,$AK$36:$AK$39,0),0)</f>
        <v>Netherlands</v>
      </c>
      <c r="AP36" s="64">
        <f ca="1">OFFSET(AA$35,MATCH(AM36,$AK$36:$AK$39,0),0)</f>
        <v>0</v>
      </c>
      <c r="AQ36" s="65">
        <f ca="1">OFFSET(AB$35,MATCH(AM36,$AK$36:$AK$39,0),0)</f>
        <v>0</v>
      </c>
      <c r="AR36" s="65">
        <f ca="1">OFFSET(AC$35,MATCH(AM36,$AK$36:$AK$39,0),0)</f>
        <v>0</v>
      </c>
      <c r="AS36" s="65">
        <f ca="1">OFFSET(AD$35,MATCH(AM36,$AK$36:$AK$39,0),0)</f>
        <v>0</v>
      </c>
      <c r="AT36" s="65">
        <f ca="1">OFFSET(AE$35,MATCH(AM36,$AK$36:$AK$39,0),0)</f>
        <v>0</v>
      </c>
      <c r="AU36" s="65">
        <f ca="1">OFFSET(AF$35,MATCH(AM36,$AK$36:$AK$39,0),0)</f>
        <v>0</v>
      </c>
      <c r="AV36" s="65">
        <f ca="1">OFFSET(AG$35,MATCH(AM36,$AK$36:$AK$39,0),0)</f>
        <v>0</v>
      </c>
      <c r="AW36" s="66">
        <f ca="1">OFFSET(Z$35,MATCH(AM36,$AK$36:$AK$39,0),0)</f>
        <v>0</v>
      </c>
      <c r="BD36" s="7"/>
      <c r="BE36" s="7"/>
      <c r="BF36" s="7"/>
      <c r="BG36" s="7"/>
      <c r="BH36" s="7"/>
      <c r="BI36" s="8"/>
      <c r="BJ36" s="4"/>
      <c r="BK36" s="4"/>
      <c r="BL36" s="4"/>
      <c r="BM36" s="138"/>
      <c r="BN36" s="138"/>
      <c r="BO36" s="4"/>
      <c r="BP36" s="4"/>
      <c r="BQ36" s="4"/>
      <c r="BR36" s="4"/>
      <c r="BS36" s="4"/>
      <c r="BT36" s="4"/>
      <c r="BU36" s="4"/>
      <c r="BV36" s="4"/>
    </row>
    <row r="37" spans="1:74" ht="17.399999999999999" customHeight="1" thickBot="1">
      <c r="A37" s="6"/>
      <c r="B37" s="72">
        <f t="shared" si="1"/>
        <v>28</v>
      </c>
      <c r="C37" s="73" t="s">
        <v>139</v>
      </c>
      <c r="D37" s="74">
        <v>0.66666666666666663</v>
      </c>
      <c r="E37" s="75"/>
      <c r="F37" s="76" t="s">
        <v>93</v>
      </c>
      <c r="G37" s="93"/>
      <c r="H37" s="94"/>
      <c r="I37" s="78" t="s">
        <v>98</v>
      </c>
      <c r="J37" s="78"/>
      <c r="K37" s="78"/>
      <c r="L37" s="95"/>
      <c r="M37" s="96"/>
      <c r="N37" s="78"/>
      <c r="O37" s="81" t="s">
        <v>114</v>
      </c>
      <c r="P37" s="124" t="s">
        <v>17</v>
      </c>
      <c r="Q37" s="83"/>
      <c r="R37" s="52"/>
      <c r="S37" s="14"/>
      <c r="T37" s="15"/>
      <c r="U37" s="84" t="str">
        <f>I17</f>
        <v>Denmark</v>
      </c>
      <c r="V37" s="85" t="str">
        <f>IF(W36="","",IF(W36=0,3,IF(W36=1,1,IF(W36=3,0,))))</f>
        <v/>
      </c>
      <c r="W37" s="54"/>
      <c r="X37" s="55" t="str">
        <f>IF(G53="","",IF(G53=H53,1,IF(G53&gt;H53,3,IF(G53&lt;H53,0,))))</f>
        <v/>
      </c>
      <c r="Y37" s="85" t="str">
        <f>IF(W39="","",IF(W39=0,3,IF(W39=1,1,IF(W39=3,0,))))</f>
        <v/>
      </c>
      <c r="Z37" s="56">
        <f>SUM(V37:Y37)</f>
        <v>0</v>
      </c>
      <c r="AA37" s="57">
        <f>COUNT(V37:Y37)</f>
        <v>0</v>
      </c>
      <c r="AB37" s="58">
        <f>COUNTIF(V37:Y37,3)</f>
        <v>0</v>
      </c>
      <c r="AC37" s="59">
        <f>COUNTIF(V37:Y37,0)</f>
        <v>0</v>
      </c>
      <c r="AD37" s="59">
        <f>COUNTIF(V37:Y37,1)</f>
        <v>0</v>
      </c>
      <c r="AE37" s="59">
        <f>SUM(H17+H35+G53)</f>
        <v>0</v>
      </c>
      <c r="AF37" s="59">
        <f>G17+G35+H53</f>
        <v>0</v>
      </c>
      <c r="AG37" s="34">
        <f>AE37-AF37</f>
        <v>0</v>
      </c>
      <c r="AH37" s="15"/>
      <c r="AI37" s="60">
        <f>AI36-0.001</f>
        <v>9.9000000000000005E-2</v>
      </c>
      <c r="AJ37" s="61">
        <f>(Z37*10000)+(AG37*100)+(AE37*10)+AI37</f>
        <v>9.9000000000000005E-2</v>
      </c>
      <c r="AK37" s="62">
        <f>RANK(AJ37,AJ$35:AJ$39)</f>
        <v>2</v>
      </c>
      <c r="AL37" s="15"/>
      <c r="AM37" s="36">
        <v>2</v>
      </c>
      <c r="AN37" s="7"/>
      <c r="AO37" s="63" t="str">
        <f ca="1">OFFSET(U$35,MATCH(AM37,$AK$36:$AK$39,0),0)</f>
        <v>Denmark</v>
      </c>
      <c r="AP37" s="64">
        <f ca="1">OFFSET(AA$35,MATCH(AM37,$AK$36:$AK$39,0),0)</f>
        <v>0</v>
      </c>
      <c r="AQ37" s="65">
        <f ca="1">OFFSET(AB$35,MATCH(AM37,$AK$36:$AK$39,0),0)</f>
        <v>0</v>
      </c>
      <c r="AR37" s="65">
        <f ca="1">OFFSET(AC$35,MATCH(AM37,$AK$36:$AK$39,0),0)</f>
        <v>0</v>
      </c>
      <c r="AS37" s="65">
        <f ca="1">OFFSET(AD$35,MATCH(AM37,$AK$36:$AK$39,0),0)</f>
        <v>0</v>
      </c>
      <c r="AT37" s="65">
        <f ca="1">OFFSET(AE$35,MATCH(AM37,$AK$36:$AK$39,0),0)</f>
        <v>0</v>
      </c>
      <c r="AU37" s="65">
        <f ca="1">OFFSET(AF$35,MATCH(AM37,$AK$36:$AK$39,0),0)</f>
        <v>0</v>
      </c>
      <c r="AV37" s="65">
        <f ca="1">OFFSET(AG$35,MATCH(AM37,$AK$36:$AK$39,0),0)</f>
        <v>0</v>
      </c>
      <c r="AW37" s="66">
        <f ca="1">OFFSET(Z$35,MATCH(AM37,$AK$36:$AK$39,0),0)</f>
        <v>0</v>
      </c>
      <c r="BD37" s="7"/>
      <c r="BE37" s="7"/>
      <c r="BF37" s="7"/>
      <c r="BG37" s="7"/>
      <c r="BH37" s="7"/>
      <c r="BI37" s="8"/>
      <c r="BJ37" s="4"/>
      <c r="BK37" s="4"/>
      <c r="BL37" s="4"/>
      <c r="BO37" s="4"/>
      <c r="BP37" s="4"/>
      <c r="BQ37" s="4"/>
      <c r="BR37" s="4"/>
      <c r="BS37" s="4"/>
      <c r="BT37" s="4"/>
      <c r="BU37" s="4"/>
      <c r="BV37" s="4"/>
    </row>
    <row r="38" spans="1:74" ht="17.399999999999999" customHeight="1" thickBot="1">
      <c r="A38" s="6"/>
      <c r="B38" s="72">
        <f t="shared" si="1"/>
        <v>29</v>
      </c>
      <c r="C38" s="73" t="s">
        <v>139</v>
      </c>
      <c r="D38" s="74">
        <v>0.85416666666666663</v>
      </c>
      <c r="E38" s="75"/>
      <c r="F38" s="76" t="s">
        <v>104</v>
      </c>
      <c r="G38" s="93"/>
      <c r="H38" s="94"/>
      <c r="I38" s="78" t="s">
        <v>108</v>
      </c>
      <c r="J38" s="78"/>
      <c r="K38" s="78"/>
      <c r="L38" s="95"/>
      <c r="M38" s="96"/>
      <c r="N38" s="78"/>
      <c r="O38" s="81" t="s">
        <v>35</v>
      </c>
      <c r="P38" s="130" t="s">
        <v>106</v>
      </c>
      <c r="Q38" s="83"/>
      <c r="R38" s="52"/>
      <c r="S38" s="14"/>
      <c r="T38" s="15"/>
      <c r="U38" s="53" t="str">
        <f>F18</f>
        <v>Japan</v>
      </c>
      <c r="V38" s="85" t="str">
        <f>IF(X36="","",IF(X36=0,3,IF(X36=1,1,IF(X36=3,0,))))</f>
        <v/>
      </c>
      <c r="W38" s="85" t="str">
        <f>IF(X37="","",IF(X37=0,3,IF(X37=1,1,IF(X37=3,0,))))</f>
        <v/>
      </c>
      <c r="X38" s="54"/>
      <c r="Y38" s="55" t="str">
        <f>IF(G18="","",IF(G18=H18,1,IF(G18&gt;H18,3,IF(G18&lt;H18,0,))))</f>
        <v/>
      </c>
      <c r="Z38" s="56">
        <f>SUM(V38:Y38)</f>
        <v>0</v>
      </c>
      <c r="AA38" s="57">
        <f>COUNT(V38:Y38)</f>
        <v>0</v>
      </c>
      <c r="AB38" s="58">
        <f>COUNTIF(V38:Y38,3)</f>
        <v>0</v>
      </c>
      <c r="AC38" s="59">
        <f>COUNTIF(V38:Y38,0)</f>
        <v>0</v>
      </c>
      <c r="AD38" s="59">
        <f>COUNTIF(V38:Y38,1)</f>
        <v>0</v>
      </c>
      <c r="AE38" s="59">
        <f>SUM(G18+H34+H53)</f>
        <v>0</v>
      </c>
      <c r="AF38" s="59">
        <f>H18+G34+G53</f>
        <v>0</v>
      </c>
      <c r="AG38" s="34">
        <f>AE38-AF38</f>
        <v>0</v>
      </c>
      <c r="AH38" s="15"/>
      <c r="AI38" s="60">
        <f>AI37-0.001</f>
        <v>9.8000000000000004E-2</v>
      </c>
      <c r="AJ38" s="61">
        <f>(Z38*10000)+(AG38*100)+(AE38*10)+AI38</f>
        <v>9.8000000000000004E-2</v>
      </c>
      <c r="AK38" s="62">
        <f>RANK(AJ38,AJ$35:AJ$39)</f>
        <v>3</v>
      </c>
      <c r="AL38" s="15"/>
      <c r="AM38" s="36">
        <v>3</v>
      </c>
      <c r="AN38" s="7"/>
      <c r="AO38" s="63" t="str">
        <f ca="1">OFFSET(U$35,MATCH(AM38,$AK$36:$AK$39,0),0)</f>
        <v>Japan</v>
      </c>
      <c r="AP38" s="64">
        <f ca="1">OFFSET(AA$35,MATCH(AM38,$AK$36:$AK$39,0),0)</f>
        <v>0</v>
      </c>
      <c r="AQ38" s="65">
        <f ca="1">OFFSET(AB$35,MATCH(AM38,$AK$36:$AK$39,0),0)</f>
        <v>0</v>
      </c>
      <c r="AR38" s="65">
        <f ca="1">OFFSET(AC$35,MATCH(AM38,$AK$36:$AK$39,0),0)</f>
        <v>0</v>
      </c>
      <c r="AS38" s="65">
        <f ca="1">OFFSET(AD$35,MATCH(AM38,$AK$36:$AK$39,0),0)</f>
        <v>0</v>
      </c>
      <c r="AT38" s="65">
        <f ca="1">OFFSET(AE$35,MATCH(AM38,$AK$36:$AK$39,0),0)</f>
        <v>0</v>
      </c>
      <c r="AU38" s="65">
        <f ca="1">OFFSET(AF$35,MATCH(AM38,$AK$36:$AK$39,0),0)</f>
        <v>0</v>
      </c>
      <c r="AV38" s="65">
        <f ca="1">OFFSET(AG$35,MATCH(AM38,$AK$36:$AK$39,0),0)</f>
        <v>0</v>
      </c>
      <c r="AW38" s="66">
        <f ca="1">OFFSET(Z$35,MATCH(AM38,$AK$36:$AK$39,0),0)</f>
        <v>0</v>
      </c>
      <c r="AY38" s="19"/>
      <c r="AZ38" s="266" t="s">
        <v>140</v>
      </c>
      <c r="BA38" s="266"/>
      <c r="BB38" s="266"/>
      <c r="BC38" s="266"/>
      <c r="BD38" s="266"/>
      <c r="BE38" s="266"/>
      <c r="BF38" s="266"/>
      <c r="BG38" s="266"/>
      <c r="BH38" s="150"/>
      <c r="BI38" s="8"/>
      <c r="BJ38" s="4"/>
      <c r="BK38" s="4"/>
      <c r="BL38" s="4"/>
      <c r="BO38" s="4"/>
      <c r="BP38" s="4"/>
      <c r="BQ38" s="4"/>
      <c r="BR38" s="4"/>
      <c r="BS38" s="4"/>
      <c r="BT38" s="4"/>
      <c r="BU38" s="4"/>
      <c r="BV38" s="4"/>
    </row>
    <row r="39" spans="1:74" ht="17.399999999999999" customHeight="1" thickBot="1">
      <c r="A39" s="6"/>
      <c r="B39" s="72">
        <f t="shared" si="1"/>
        <v>30</v>
      </c>
      <c r="C39" s="73" t="s">
        <v>141</v>
      </c>
      <c r="D39" s="74">
        <v>0.5625</v>
      </c>
      <c r="E39" s="75"/>
      <c r="F39" s="76" t="s">
        <v>109</v>
      </c>
      <c r="G39" s="93"/>
      <c r="H39" s="94"/>
      <c r="I39" s="78" t="s">
        <v>105</v>
      </c>
      <c r="J39" s="78"/>
      <c r="K39" s="78"/>
      <c r="L39" s="95"/>
      <c r="M39" s="96"/>
      <c r="N39" s="78"/>
      <c r="O39" s="81" t="s">
        <v>42</v>
      </c>
      <c r="P39" s="130" t="s">
        <v>106</v>
      </c>
      <c r="Q39" s="83"/>
      <c r="R39" s="52"/>
      <c r="S39" s="14"/>
      <c r="T39" s="15"/>
      <c r="U39" s="53" t="str">
        <f>I18</f>
        <v>Cameroon</v>
      </c>
      <c r="V39" s="85" t="str">
        <f>IF(Y36="","",IF(Y36=0,3,IF(Y36=1,1,IF(Y36=3,0,))))</f>
        <v/>
      </c>
      <c r="W39" s="55" t="str">
        <f>IF(G35="","",IF(G35=H35,1,IF(G35&gt;H35,3,IF(G35&lt;H35,0,))))</f>
        <v/>
      </c>
      <c r="X39" s="85" t="str">
        <f>IF(Y38="","",IF(Y38=0,3,IF(Y38=1,1,IF(Y38=3,0,))))</f>
        <v/>
      </c>
      <c r="Y39" s="54"/>
      <c r="Z39" s="56">
        <f>SUM(V39:Y39)</f>
        <v>0</v>
      </c>
      <c r="AA39" s="57">
        <f>COUNT(V39:Y39)</f>
        <v>0</v>
      </c>
      <c r="AB39" s="58">
        <f>COUNTIF(V39:Y39,3)</f>
        <v>0</v>
      </c>
      <c r="AC39" s="59">
        <f>COUNTIF(V39:Y39,0)</f>
        <v>0</v>
      </c>
      <c r="AD39" s="59">
        <f>COUNTIF(V39:Y39,1)</f>
        <v>0</v>
      </c>
      <c r="AE39" s="59">
        <f>SUM(H18+G35+H54)</f>
        <v>0</v>
      </c>
      <c r="AF39" s="59">
        <f>H35+G54+G18</f>
        <v>0</v>
      </c>
      <c r="AG39" s="34">
        <f>AE39-AF39</f>
        <v>0</v>
      </c>
      <c r="AH39" s="15"/>
      <c r="AI39" s="60">
        <f>AI38-0.001</f>
        <v>9.7000000000000003E-2</v>
      </c>
      <c r="AJ39" s="61">
        <f>(Z39*10000)+(AG39*100)+(AE39*10)+AI39</f>
        <v>9.7000000000000003E-2</v>
      </c>
      <c r="AK39" s="62">
        <f>RANK(AJ39,AJ$35:AJ$39)</f>
        <v>4</v>
      </c>
      <c r="AL39" s="15"/>
      <c r="AM39" s="36">
        <v>4</v>
      </c>
      <c r="AN39" s="7"/>
      <c r="AO39" s="100" t="str">
        <f ca="1">OFFSET(U$35,MATCH(AM39,$AK$36:$AK$39,0),0)</f>
        <v>Cameroon</v>
      </c>
      <c r="AP39" s="101">
        <f ca="1">OFFSET(AA$35,MATCH(AM39,$AK$36:$AK$39,0),0)</f>
        <v>0</v>
      </c>
      <c r="AQ39" s="102">
        <f ca="1">OFFSET(AB$35,MATCH(AM39,$AK$36:$AK$39,0),0)</f>
        <v>0</v>
      </c>
      <c r="AR39" s="102">
        <f ca="1">OFFSET(AC$35,MATCH(AM39,$AK$36:$AK$39,0),0)</f>
        <v>0</v>
      </c>
      <c r="AS39" s="102">
        <f ca="1">OFFSET(AD$35,MATCH(AM39,$AK$36:$AK$39,0),0)</f>
        <v>0</v>
      </c>
      <c r="AT39" s="102">
        <f ca="1">OFFSET(AE$35,MATCH(AM39,$AK$36:$AK$39,0),0)</f>
        <v>0</v>
      </c>
      <c r="AU39" s="102">
        <f ca="1">OFFSET(AF$35,MATCH(AM39,$AK$36:$AK$39,0),0)</f>
        <v>0</v>
      </c>
      <c r="AV39" s="102">
        <f ca="1">OFFSET(AG$35,MATCH(AM39,$AK$36:$AK$39,0),0)</f>
        <v>0</v>
      </c>
      <c r="AW39" s="103">
        <f ca="1">OFFSET(Z$35,MATCH(AM39,$AK$36:$AK$39,0),0)</f>
        <v>0</v>
      </c>
      <c r="AY39" s="165" t="s">
        <v>3</v>
      </c>
      <c r="AZ39" s="166" t="s">
        <v>4</v>
      </c>
      <c r="BA39" s="167" t="s">
        <v>5</v>
      </c>
      <c r="BB39" s="168" t="s">
        <v>25</v>
      </c>
      <c r="BC39" s="237" t="s">
        <v>26</v>
      </c>
      <c r="BD39" s="237"/>
      <c r="BE39" s="237"/>
      <c r="BF39" s="237"/>
      <c r="BG39" s="166" t="s">
        <v>9</v>
      </c>
      <c r="BH39" s="169"/>
      <c r="BI39" s="8"/>
      <c r="BJ39" s="4"/>
      <c r="BK39" s="4"/>
      <c r="BL39" s="4"/>
      <c r="BM39" s="170" t="s">
        <v>142</v>
      </c>
      <c r="BN39" s="14" t="str">
        <f>BF33</f>
        <v>Winner C</v>
      </c>
      <c r="BO39" s="4"/>
      <c r="BP39" s="4"/>
      <c r="BQ39" s="4"/>
      <c r="BR39" s="4"/>
      <c r="BS39" s="4"/>
      <c r="BT39" s="4"/>
      <c r="BU39" s="4"/>
      <c r="BV39" s="4"/>
    </row>
    <row r="40" spans="1:74" ht="17.399999999999999" customHeight="1" thickBot="1">
      <c r="A40" s="6"/>
      <c r="B40" s="72">
        <f t="shared" si="1"/>
        <v>31</v>
      </c>
      <c r="C40" s="73" t="s">
        <v>141</v>
      </c>
      <c r="D40" s="74">
        <v>0.66666666666666663</v>
      </c>
      <c r="E40" s="75"/>
      <c r="F40" s="76" t="s">
        <v>118</v>
      </c>
      <c r="G40" s="93"/>
      <c r="H40" s="94"/>
      <c r="I40" s="78" t="s">
        <v>113</v>
      </c>
      <c r="J40" s="78"/>
      <c r="K40" s="78"/>
      <c r="L40" s="95"/>
      <c r="M40" s="96"/>
      <c r="N40" s="78"/>
      <c r="O40" s="81" t="s">
        <v>38</v>
      </c>
      <c r="P40" s="132" t="s">
        <v>115</v>
      </c>
      <c r="Q40" s="83"/>
      <c r="R40" s="52"/>
      <c r="S40" s="14"/>
      <c r="T40" s="15"/>
      <c r="U40" s="14"/>
      <c r="V40" s="156"/>
      <c r="W40" s="157"/>
      <c r="X40" s="157"/>
      <c r="Y40" s="14"/>
      <c r="Z40" s="52"/>
      <c r="AA40" s="52"/>
      <c r="AB40" s="52"/>
      <c r="AC40" s="52"/>
      <c r="AD40" s="52"/>
      <c r="AE40" s="52"/>
      <c r="AF40" s="52"/>
      <c r="AG40" s="52"/>
      <c r="AH40" s="15"/>
      <c r="AI40" s="158"/>
      <c r="AJ40" s="159"/>
      <c r="AK40" s="36"/>
      <c r="AL40" s="14"/>
      <c r="AM40" s="36"/>
      <c r="AN40" s="7"/>
      <c r="AO40" s="160"/>
      <c r="AP40" s="161"/>
      <c r="AQ40" s="162"/>
      <c r="AR40" s="162"/>
      <c r="AS40" s="162"/>
      <c r="AT40" s="162"/>
      <c r="AU40" s="162"/>
      <c r="AV40" s="162"/>
      <c r="AW40" s="161"/>
      <c r="AY40" s="131"/>
      <c r="AZ40" s="68"/>
      <c r="BA40" s="68"/>
      <c r="BB40" s="68"/>
      <c r="BC40" s="68"/>
      <c r="BD40" s="68"/>
      <c r="BE40" s="68"/>
      <c r="BF40" s="68"/>
      <c r="BG40" s="68"/>
      <c r="BH40" s="69"/>
      <c r="BI40" s="8"/>
      <c r="BJ40" s="4"/>
      <c r="BK40" s="4"/>
      <c r="BL40" s="4"/>
      <c r="BM40" s="171" t="s">
        <v>142</v>
      </c>
      <c r="BN40" s="14" t="str">
        <f>BC33</f>
        <v xml:space="preserve">Winner A </v>
      </c>
      <c r="BO40" s="4"/>
      <c r="BP40" s="4"/>
      <c r="BQ40" s="4"/>
      <c r="BR40" s="4"/>
      <c r="BS40" s="4"/>
      <c r="BT40" s="4"/>
      <c r="BU40" s="4"/>
      <c r="BV40" s="4"/>
    </row>
    <row r="41" spans="1:74" ht="17.399999999999999" customHeight="1" thickBot="1">
      <c r="A41" s="6"/>
      <c r="B41" s="72">
        <f t="shared" si="1"/>
        <v>32</v>
      </c>
      <c r="C41" s="73" t="s">
        <v>141</v>
      </c>
      <c r="D41" s="74">
        <v>0.85416666666666663</v>
      </c>
      <c r="E41" s="75"/>
      <c r="F41" s="76" t="s">
        <v>112</v>
      </c>
      <c r="G41" s="134"/>
      <c r="H41" s="135"/>
      <c r="I41" s="78" t="s">
        <v>117</v>
      </c>
      <c r="J41" s="78"/>
      <c r="K41" s="78"/>
      <c r="L41" s="95"/>
      <c r="M41" s="96"/>
      <c r="N41" s="78"/>
      <c r="O41" s="81" t="s">
        <v>35</v>
      </c>
      <c r="P41" s="136" t="s">
        <v>115</v>
      </c>
      <c r="Q41" s="83"/>
      <c r="R41" s="52"/>
      <c r="S41" s="14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4"/>
      <c r="AN41" s="7"/>
      <c r="AO41" s="226"/>
      <c r="AP41" s="203"/>
      <c r="AQ41" s="203"/>
      <c r="AR41" s="202" t="s">
        <v>143</v>
      </c>
      <c r="AS41" s="203"/>
      <c r="AT41" s="203"/>
      <c r="AU41" s="203"/>
      <c r="AV41" s="203"/>
      <c r="AW41" s="204"/>
      <c r="AY41" s="87">
        <v>63</v>
      </c>
      <c r="AZ41" s="73" t="s">
        <v>144</v>
      </c>
      <c r="BA41" s="75">
        <v>0.85416666666666663</v>
      </c>
      <c r="BB41" s="172" t="s">
        <v>145</v>
      </c>
      <c r="BC41" s="89" t="str">
        <f>IF(BD33&lt;&gt;"",IF(BD33&lt;BE33,BC33,IF(BE33&lt;BD33,BF33,"Draw")),"Loser SF-1")</f>
        <v>Loser SF-1</v>
      </c>
      <c r="BD41" s="232"/>
      <c r="BE41" s="232"/>
      <c r="BF41" s="89" t="str">
        <f>IF(BD34&lt;&gt;"",IF(BD34&lt;BE34,BC34,IF(BE34&lt;BD34,BF34,"Draw")),"Loser SF-2")</f>
        <v>Loser SF-2</v>
      </c>
      <c r="BG41" s="81" t="s">
        <v>38</v>
      </c>
      <c r="BH41" s="92"/>
      <c r="BI41" s="8"/>
      <c r="BJ41" s="4"/>
      <c r="BK41" s="4"/>
      <c r="BL41" s="4"/>
      <c r="BM41" s="173" t="s">
        <v>146</v>
      </c>
      <c r="BN41" s="14" t="str">
        <f>BC34</f>
        <v xml:space="preserve">Winner B </v>
      </c>
      <c r="BO41" s="4"/>
      <c r="BP41" s="4"/>
      <c r="BQ41" s="4"/>
      <c r="BR41" s="4"/>
      <c r="BS41" s="4"/>
      <c r="BT41" s="4"/>
      <c r="BU41" s="4"/>
      <c r="BV41" s="4"/>
    </row>
    <row r="42" spans="1:74" ht="17.100000000000001" customHeight="1" thickBot="1">
      <c r="A42" s="6"/>
      <c r="B42" s="139" t="s">
        <v>147</v>
      </c>
      <c r="C42" s="140"/>
      <c r="D42" s="140"/>
      <c r="E42" s="140"/>
      <c r="F42" s="140"/>
      <c r="G42" s="142"/>
      <c r="H42" s="142"/>
      <c r="I42" s="143"/>
      <c r="J42" s="143"/>
      <c r="K42" s="143"/>
      <c r="L42" s="143"/>
      <c r="M42" s="143"/>
      <c r="N42" s="143"/>
      <c r="O42" s="143"/>
      <c r="P42" s="143"/>
      <c r="Q42" s="92"/>
      <c r="R42" s="52"/>
      <c r="S42" s="14"/>
      <c r="T42" s="15"/>
      <c r="U42" s="164" t="s">
        <v>11</v>
      </c>
      <c r="V42" s="31" t="str">
        <f>U43</f>
        <v>Italy</v>
      </c>
      <c r="W42" s="31" t="str">
        <f>U44</f>
        <v>Paraguay</v>
      </c>
      <c r="X42" s="31" t="str">
        <f>U45</f>
        <v>New Zealand</v>
      </c>
      <c r="Y42" s="31" t="str">
        <f>U46</f>
        <v>Slovakia</v>
      </c>
      <c r="Z42" s="32" t="s">
        <v>12</v>
      </c>
      <c r="AA42" s="33" t="s">
        <v>13</v>
      </c>
      <c r="AB42" s="33" t="s">
        <v>14</v>
      </c>
      <c r="AC42" s="33" t="s">
        <v>15</v>
      </c>
      <c r="AD42" s="33" t="s">
        <v>16</v>
      </c>
      <c r="AE42" s="33" t="s">
        <v>17</v>
      </c>
      <c r="AF42" s="33" t="s">
        <v>18</v>
      </c>
      <c r="AG42" s="34" t="s">
        <v>19</v>
      </c>
      <c r="AH42" s="15"/>
      <c r="AI42" s="35" t="s">
        <v>20</v>
      </c>
      <c r="AJ42" s="35" t="s">
        <v>21</v>
      </c>
      <c r="AK42" s="35" t="s">
        <v>22</v>
      </c>
      <c r="AL42" s="15"/>
      <c r="AM42" s="36" t="s">
        <v>23</v>
      </c>
      <c r="AN42" s="7"/>
      <c r="AO42" s="37"/>
      <c r="AP42" s="38" t="s">
        <v>13</v>
      </c>
      <c r="AQ42" s="39" t="s">
        <v>14</v>
      </c>
      <c r="AR42" s="39" t="s">
        <v>15</v>
      </c>
      <c r="AS42" s="39" t="s">
        <v>16</v>
      </c>
      <c r="AT42" s="39" t="s">
        <v>17</v>
      </c>
      <c r="AU42" s="39" t="s">
        <v>18</v>
      </c>
      <c r="AV42" s="39" t="s">
        <v>19</v>
      </c>
      <c r="AW42" s="40" t="s">
        <v>24</v>
      </c>
      <c r="AY42" s="174"/>
      <c r="AZ42" s="143"/>
      <c r="BA42" s="143"/>
      <c r="BB42" s="143"/>
      <c r="BC42" s="143"/>
      <c r="BD42" s="143"/>
      <c r="BE42" s="143"/>
      <c r="BF42" s="143"/>
      <c r="BG42" s="143"/>
      <c r="BH42" s="92"/>
      <c r="BI42" s="8"/>
      <c r="BJ42" s="4"/>
      <c r="BK42" s="4"/>
      <c r="BL42" s="4"/>
      <c r="BM42" s="175" t="s">
        <v>146</v>
      </c>
      <c r="BN42" s="14" t="str">
        <f>BF34</f>
        <v>Winner D</v>
      </c>
      <c r="BO42" s="4"/>
      <c r="BP42" s="4"/>
      <c r="BQ42" s="4"/>
      <c r="BR42" s="4"/>
      <c r="BS42" s="4"/>
      <c r="BT42" s="4"/>
      <c r="BU42" s="4"/>
      <c r="BV42" s="4"/>
    </row>
    <row r="43" spans="1:74" ht="17.399999999999999" customHeight="1" thickBot="1">
      <c r="A43" s="6"/>
      <c r="B43" s="72">
        <f>B41+1</f>
        <v>33</v>
      </c>
      <c r="C43" s="73" t="s">
        <v>148</v>
      </c>
      <c r="D43" s="74">
        <v>0.66666666666666663</v>
      </c>
      <c r="E43" s="75"/>
      <c r="F43" s="76" t="s">
        <v>34</v>
      </c>
      <c r="G43" s="145"/>
      <c r="H43" s="77"/>
      <c r="I43" s="78" t="s">
        <v>40</v>
      </c>
      <c r="J43" s="78"/>
      <c r="K43" s="78"/>
      <c r="L43" s="95"/>
      <c r="M43" s="96"/>
      <c r="N43" s="78"/>
      <c r="O43" s="81" t="s">
        <v>44</v>
      </c>
      <c r="P43" s="82" t="s">
        <v>18</v>
      </c>
      <c r="Q43" s="83"/>
      <c r="R43" s="52"/>
      <c r="S43" s="14"/>
      <c r="T43" s="15"/>
      <c r="U43" s="84" t="str">
        <f>F19</f>
        <v>Italy</v>
      </c>
      <c r="V43" s="54"/>
      <c r="W43" s="55" t="str">
        <f>IF(G19="","",IF(G19=H19,1,IF(G19&gt;H19,3,IF(G19&lt;H19,0,))))</f>
        <v/>
      </c>
      <c r="X43" s="55" t="str">
        <f>IF(G37="","",IF(G37=H37,1,IF(G37&gt;H37,3,IF(G37&lt;H37,0,))))</f>
        <v/>
      </c>
      <c r="Y43" s="55" t="str">
        <f>IF(G51="","",IF(G51=H51,1,IF(G51&gt;H51,3,IF(G51&lt;H51,0,))))</f>
        <v/>
      </c>
      <c r="Z43" s="56">
        <f>SUM(V43:Y43)</f>
        <v>0</v>
      </c>
      <c r="AA43" s="57">
        <f>COUNT(V43:Y43)</f>
        <v>0</v>
      </c>
      <c r="AB43" s="58">
        <f>COUNTIF(V43:Y43,3)</f>
        <v>0</v>
      </c>
      <c r="AC43" s="59">
        <f>COUNTIF(V43:Y43,0)</f>
        <v>0</v>
      </c>
      <c r="AD43" s="59">
        <f>COUNTIF(V43:Y43,1)</f>
        <v>0</v>
      </c>
      <c r="AE43" s="59">
        <f>SUM(G19+G37+G51)</f>
        <v>0</v>
      </c>
      <c r="AF43" s="59">
        <f>H19+H37+H51</f>
        <v>0</v>
      </c>
      <c r="AG43" s="34">
        <f>AE43-AF43</f>
        <v>0</v>
      </c>
      <c r="AH43" s="15"/>
      <c r="AI43" s="60">
        <v>0.1</v>
      </c>
      <c r="AJ43" s="61">
        <f>(Z43*10000)+(AG43*100)+(AE43*10)+AI43</f>
        <v>0.1</v>
      </c>
      <c r="AK43" s="62">
        <f>RANK(AJ43,AJ$42:AJ$46)</f>
        <v>1</v>
      </c>
      <c r="AL43" s="15"/>
      <c r="AM43" s="36">
        <v>1</v>
      </c>
      <c r="AN43" s="7"/>
      <c r="AO43" s="63" t="str">
        <f ca="1">OFFSET(U$42,MATCH(AM43,$AK$43:$AK$46,0),0)</f>
        <v>Italy</v>
      </c>
      <c r="AP43" s="64">
        <f ca="1">OFFSET(AA$42,MATCH(AM43,$AK$43:$AK$46,0),0)</f>
        <v>0</v>
      </c>
      <c r="AQ43" s="65">
        <f ca="1">OFFSET(AB$42,MATCH(AM43,$AK$43:$AK$46,0),0)</f>
        <v>0</v>
      </c>
      <c r="AR43" s="65">
        <f ca="1">OFFSET(AC$42,MATCH(AM43,$AK$43:$AK$46,0),0)</f>
        <v>0</v>
      </c>
      <c r="AS43" s="65">
        <f ca="1">OFFSET(AD$42,MATCH(AM43,$AK$43:$AK$46,0),0)</f>
        <v>0</v>
      </c>
      <c r="AT43" s="65">
        <f ca="1">OFFSET(AE$42,MATCH(AM43,$AK$43:$AK$46,0),0)</f>
        <v>0</v>
      </c>
      <c r="AU43" s="65">
        <f ca="1">OFFSET(AF$42,MATCH(AM43,$AK$43:$AK$46,0),0)</f>
        <v>0</v>
      </c>
      <c r="AV43" s="65">
        <f ca="1">OFFSET(AG$42,MATCH(AM43,$AK$43:$AK$46,0),0)</f>
        <v>0</v>
      </c>
      <c r="AW43" s="66">
        <f ca="1">OFFSET(Z$42,MATCH(AM43,$AK$43:$AK$46,0),0)</f>
        <v>0</v>
      </c>
      <c r="AY43" s="174"/>
      <c r="AZ43" s="241" t="s">
        <v>149</v>
      </c>
      <c r="BA43" s="241"/>
      <c r="BB43" s="241"/>
      <c r="BC43" s="242"/>
      <c r="BD43" s="245" t="str">
        <f>IF(BD41&lt;&gt;"",IF(BD41&gt;BE41,BC41,IF(BE41&gt;BD41,BF41,"Error - Nominate A Winner")),"Third Place Winner")</f>
        <v>Third Place Winner</v>
      </c>
      <c r="BE43" s="246"/>
      <c r="BF43" s="246"/>
      <c r="BG43" s="247"/>
      <c r="BH43" s="92"/>
      <c r="BI43" s="8"/>
      <c r="BJ43" s="4"/>
      <c r="BK43" s="4"/>
      <c r="BL43" s="4"/>
      <c r="BM43" s="14"/>
      <c r="BN43" s="14"/>
      <c r="BO43" s="4"/>
      <c r="BP43" s="4"/>
      <c r="BQ43" s="4"/>
      <c r="BR43" s="4"/>
      <c r="BS43" s="4"/>
      <c r="BT43" s="4"/>
      <c r="BU43" s="4"/>
      <c r="BV43" s="4"/>
    </row>
    <row r="44" spans="1:74" ht="17.399999999999999" customHeight="1" thickBot="1">
      <c r="A44" s="6"/>
      <c r="B44" s="72">
        <f t="shared" ref="B44:B58" si="2">B43+1</f>
        <v>34</v>
      </c>
      <c r="C44" s="73" t="s">
        <v>148</v>
      </c>
      <c r="D44" s="74">
        <v>0.66666666666666663</v>
      </c>
      <c r="E44" s="75"/>
      <c r="F44" s="76" t="s">
        <v>33</v>
      </c>
      <c r="G44" s="93"/>
      <c r="H44" s="94"/>
      <c r="I44" s="78" t="s">
        <v>41</v>
      </c>
      <c r="J44" s="78"/>
      <c r="K44" s="78"/>
      <c r="L44" s="95"/>
      <c r="M44" s="96"/>
      <c r="N44" s="78"/>
      <c r="O44" s="81" t="s">
        <v>52</v>
      </c>
      <c r="P44" s="97" t="s">
        <v>18</v>
      </c>
      <c r="Q44" s="83"/>
      <c r="R44" s="52"/>
      <c r="S44" s="14"/>
      <c r="T44" s="15"/>
      <c r="U44" s="84" t="str">
        <f>I19</f>
        <v>Paraguay</v>
      </c>
      <c r="V44" s="85" t="str">
        <f>IF(W43="","",IF(W43=0,3,IF(W43=1,1,IF(W43=3,0,))))</f>
        <v/>
      </c>
      <c r="W44" s="54"/>
      <c r="X44" s="55" t="str">
        <f>IF(G52="","",IF(G52=H52,1,IF(G52&gt;H52,3,IF(G52&lt;H52,0,))))</f>
        <v/>
      </c>
      <c r="Y44" s="85" t="str">
        <f>IF(W46="","",IF(W46=0,3,IF(W46=1,1,IF(W46=3,0,))))</f>
        <v/>
      </c>
      <c r="Z44" s="56">
        <f>SUM(V44:Y44)</f>
        <v>0</v>
      </c>
      <c r="AA44" s="57">
        <f>COUNT(V44:Y44)</f>
        <v>0</v>
      </c>
      <c r="AB44" s="58">
        <f>COUNTIF(V44:Y44,3)</f>
        <v>0</v>
      </c>
      <c r="AC44" s="59">
        <f>COUNTIF(V44:Y44,0)</f>
        <v>0</v>
      </c>
      <c r="AD44" s="59">
        <f>COUNTIF(V44:Y44,1)</f>
        <v>0</v>
      </c>
      <c r="AE44" s="59">
        <f>SUM(H19+H36+G52)</f>
        <v>0</v>
      </c>
      <c r="AF44" s="59">
        <f>H20+G37+G52</f>
        <v>0</v>
      </c>
      <c r="AG44" s="34">
        <f>AE44-AF44</f>
        <v>0</v>
      </c>
      <c r="AH44" s="15"/>
      <c r="AI44" s="60">
        <f>AI43-0.001</f>
        <v>9.9000000000000005E-2</v>
      </c>
      <c r="AJ44" s="61">
        <f>(Z44*10000)+(AG44*100)+(AE44*10)+AI44</f>
        <v>9.9000000000000005E-2</v>
      </c>
      <c r="AK44" s="62">
        <f>RANK(AJ44,AJ$42:AJ$46)</f>
        <v>2</v>
      </c>
      <c r="AL44" s="15"/>
      <c r="AM44" s="36">
        <v>2</v>
      </c>
      <c r="AN44" s="7"/>
      <c r="AO44" s="63" t="str">
        <f ca="1">OFFSET(U$42,MATCH(AM44,$AK$43:$AK$46,0),0)</f>
        <v>Paraguay</v>
      </c>
      <c r="AP44" s="64">
        <f ca="1">OFFSET(AA$42,MATCH(AM44,$AK$43:$AK$46,0),0)</f>
        <v>0</v>
      </c>
      <c r="AQ44" s="65">
        <f ca="1">OFFSET(AB$42,MATCH(AM44,$AK$43:$AK$46,0),0)</f>
        <v>0</v>
      </c>
      <c r="AR44" s="65">
        <f ca="1">OFFSET(AC$42,MATCH(AM44,$AK$43:$AK$46,0),0)</f>
        <v>0</v>
      </c>
      <c r="AS44" s="65">
        <f ca="1">OFFSET(AD$42,MATCH(AM44,$AK$43:$AK$46,0),0)</f>
        <v>0</v>
      </c>
      <c r="AT44" s="65">
        <f ca="1">OFFSET(AE$42,MATCH(AM44,$AK$43:$AK$46,0),0)</f>
        <v>0</v>
      </c>
      <c r="AU44" s="65">
        <f ca="1">OFFSET(AF$42,MATCH(AM44,$AK$43:$AK$46,0),0)</f>
        <v>0</v>
      </c>
      <c r="AV44" s="65">
        <f ca="1">OFFSET(AG$42,MATCH(AM44,$AK$43:$AK$46,0),0)</f>
        <v>0</v>
      </c>
      <c r="AW44" s="66">
        <f ca="1">OFFSET(Z$42,MATCH(AM44,$AK$43:$AK$46,0),0)</f>
        <v>0</v>
      </c>
      <c r="AY44" s="174"/>
      <c r="AZ44" s="143"/>
      <c r="BA44" s="143"/>
      <c r="BB44" s="143"/>
      <c r="BC44" s="143"/>
      <c r="BD44" s="143"/>
      <c r="BE44" s="143"/>
      <c r="BF44" s="143"/>
      <c r="BG44" s="143"/>
      <c r="BH44" s="92"/>
      <c r="BI44" s="8"/>
      <c r="BJ44" s="4"/>
      <c r="BK44" s="4"/>
      <c r="BL44" s="4"/>
      <c r="BM44" s="14"/>
      <c r="BN44" s="14"/>
      <c r="BO44" s="4"/>
      <c r="BP44" s="4"/>
      <c r="BQ44" s="4"/>
      <c r="BR44" s="4"/>
      <c r="BS44" s="4"/>
      <c r="BT44" s="4"/>
      <c r="BU44" s="4"/>
      <c r="BV44" s="4"/>
    </row>
    <row r="45" spans="1:74" ht="17.399999999999999" customHeight="1" thickBot="1">
      <c r="A45" s="6"/>
      <c r="B45" s="72">
        <f t="shared" si="2"/>
        <v>35</v>
      </c>
      <c r="C45" s="73" t="s">
        <v>148</v>
      </c>
      <c r="D45" s="74">
        <v>0.85416666666666663</v>
      </c>
      <c r="E45" s="75"/>
      <c r="F45" s="76" t="s">
        <v>48</v>
      </c>
      <c r="G45" s="93"/>
      <c r="H45" s="94"/>
      <c r="I45" s="78" t="s">
        <v>55</v>
      </c>
      <c r="J45" s="78"/>
      <c r="K45" s="78"/>
      <c r="L45" s="95"/>
      <c r="M45" s="96"/>
      <c r="N45" s="78"/>
      <c r="O45" s="81" t="s">
        <v>66</v>
      </c>
      <c r="P45" s="99" t="s">
        <v>49</v>
      </c>
      <c r="Q45" s="83"/>
      <c r="R45" s="52"/>
      <c r="S45" s="14"/>
      <c r="T45" s="15"/>
      <c r="U45" s="53" t="str">
        <f>F20</f>
        <v>New Zealand</v>
      </c>
      <c r="V45" s="85" t="str">
        <f>IF(X43="","",IF(X43=0,3,IF(X43=1,1,IF(X43=3,0,))))</f>
        <v/>
      </c>
      <c r="W45" s="85" t="str">
        <f>IF(X44="","",IF(X44=0,3,IF(X44=1,1,IF(X44=3,0,))))</f>
        <v/>
      </c>
      <c r="X45" s="54"/>
      <c r="Y45" s="55" t="str">
        <f>IF(G20="","",IF(G20=H20,1,IF(G20&gt;H20,3,IF(G20&lt;H20,0,))))</f>
        <v/>
      </c>
      <c r="Z45" s="56">
        <f>SUM(V45:Y45)</f>
        <v>0</v>
      </c>
      <c r="AA45" s="57">
        <f>COUNT(V45:Y45)</f>
        <v>0</v>
      </c>
      <c r="AB45" s="58">
        <f>COUNTIF(V45:Y45,3)</f>
        <v>0</v>
      </c>
      <c r="AC45" s="59">
        <f>COUNTIF(V45:Y45,0)</f>
        <v>0</v>
      </c>
      <c r="AD45" s="59">
        <f>COUNTIF(V45:Y45,1)</f>
        <v>0</v>
      </c>
      <c r="AE45" s="59">
        <f>SUM(G20+H37+H52)</f>
        <v>0</v>
      </c>
      <c r="AF45" s="59">
        <f>H20+G37+G52</f>
        <v>0</v>
      </c>
      <c r="AG45" s="34">
        <f>AE45-AF45</f>
        <v>0</v>
      </c>
      <c r="AH45" s="15"/>
      <c r="AI45" s="60">
        <f>AI44-0.001</f>
        <v>9.8000000000000004E-2</v>
      </c>
      <c r="AJ45" s="61">
        <f>(Z45*10000)+(AG45*100)+(AE45*10)+AI45</f>
        <v>9.8000000000000004E-2</v>
      </c>
      <c r="AK45" s="62">
        <f>RANK(AJ45,AJ$42:AJ$46)</f>
        <v>3</v>
      </c>
      <c r="AL45" s="15"/>
      <c r="AM45" s="36">
        <v>3</v>
      </c>
      <c r="AN45" s="7"/>
      <c r="AO45" s="63" t="str">
        <f ca="1">OFFSET(U$42,MATCH(AM45,$AK$43:$AK$46,0),0)</f>
        <v>New Zealand</v>
      </c>
      <c r="AP45" s="64">
        <f ca="1">OFFSET(AA$42,MATCH(AM45,$AK$43:$AK$46,0),0)</f>
        <v>0</v>
      </c>
      <c r="AQ45" s="65">
        <f ca="1">OFFSET(AB$42,MATCH(AM45,$AK$43:$AK$46,0),0)</f>
        <v>0</v>
      </c>
      <c r="AR45" s="65">
        <f ca="1">OFFSET(AC$42,MATCH(AM45,$AK$43:$AK$46,0),0)</f>
        <v>0</v>
      </c>
      <c r="AS45" s="65">
        <f ca="1">OFFSET(AD$42,MATCH(AM45,$AK$43:$AK$46,0),0)</f>
        <v>0</v>
      </c>
      <c r="AT45" s="65">
        <f ca="1">OFFSET(AE$42,MATCH(AM45,$AK$43:$AK$46,0),0)</f>
        <v>0</v>
      </c>
      <c r="AU45" s="65">
        <f ca="1">OFFSET(AF$42,MATCH(AM45,$AK$43:$AK$46,0),0)</f>
        <v>0</v>
      </c>
      <c r="AV45" s="65">
        <f ca="1">OFFSET(AG$42,MATCH(AM45,$AK$43:$AK$46,0),0)</f>
        <v>0</v>
      </c>
      <c r="AW45" s="66">
        <f ca="1">OFFSET(Z$42,MATCH(AM45,$AK$43:$AK$46,0),0)</f>
        <v>0</v>
      </c>
      <c r="AY45" s="87">
        <v>64</v>
      </c>
      <c r="AZ45" s="73" t="s">
        <v>150</v>
      </c>
      <c r="BA45" s="75">
        <v>0.85416666666666663</v>
      </c>
      <c r="BB45" s="230" t="s">
        <v>151</v>
      </c>
      <c r="BC45" s="89" t="str">
        <f>IF(BD33&lt;&gt;"",IF(BD33&gt;BE33,BC33,IF(BE33&gt;BD33,BF33,"Draw")),"Winner SF-1")</f>
        <v>Winner SF-1</v>
      </c>
      <c r="BD45" s="232"/>
      <c r="BE45" s="232"/>
      <c r="BF45" s="89" t="str">
        <f>IF(BD34&lt;&gt;"",IF(BD34&gt;BE34,BC34,IF(BE34&gt;BD34,BF34,"Draw")),"Winner SF-2")</f>
        <v>Winner SF-2</v>
      </c>
      <c r="BG45" s="81" t="s">
        <v>35</v>
      </c>
      <c r="BH45" s="92"/>
      <c r="BI45" s="8"/>
      <c r="BJ45" s="4"/>
      <c r="BK45" s="4"/>
      <c r="BL45" s="4"/>
      <c r="BM45" s="14"/>
      <c r="BN45" s="14"/>
      <c r="BO45" s="4"/>
      <c r="BP45" s="4"/>
      <c r="BQ45" s="4"/>
      <c r="BR45" s="4"/>
      <c r="BS45" s="4"/>
      <c r="BT45" s="4"/>
      <c r="BU45" s="4"/>
      <c r="BV45" s="4"/>
    </row>
    <row r="46" spans="1:74" ht="17.399999999999999" customHeight="1" thickBot="1">
      <c r="A46" s="6"/>
      <c r="B46" s="72">
        <f t="shared" si="2"/>
        <v>36</v>
      </c>
      <c r="C46" s="73" t="s">
        <v>148</v>
      </c>
      <c r="D46" s="74">
        <v>0.85416666666666663</v>
      </c>
      <c r="E46" s="75"/>
      <c r="F46" s="76" t="s">
        <v>47</v>
      </c>
      <c r="G46" s="93"/>
      <c r="H46" s="94"/>
      <c r="I46" s="78" t="s">
        <v>56</v>
      </c>
      <c r="J46" s="78"/>
      <c r="K46" s="78"/>
      <c r="L46" s="95"/>
      <c r="M46" s="96"/>
      <c r="N46" s="78"/>
      <c r="O46" s="81" t="s">
        <v>71</v>
      </c>
      <c r="P46" s="99" t="s">
        <v>49</v>
      </c>
      <c r="Q46" s="83"/>
      <c r="R46" s="52"/>
      <c r="S46" s="14"/>
      <c r="T46" s="15"/>
      <c r="U46" s="53" t="str">
        <f>I20</f>
        <v>Slovakia</v>
      </c>
      <c r="V46" s="85" t="str">
        <f>IF(Y43="","",IF(Y43=0,3,IF(Y43=1,1,IF(Y43=3,0,))))</f>
        <v/>
      </c>
      <c r="W46" s="55" t="str">
        <f>IF(G36="","",IF(G36=H36,1,IF(G36&gt;H36,3,IF(G36&lt;H36,0,))))</f>
        <v/>
      </c>
      <c r="X46" s="85" t="str">
        <f>IF(Y45="","",IF(Y45=0,3,IF(Y45=1,1,IF(Y45=3,0,))))</f>
        <v/>
      </c>
      <c r="Y46" s="54"/>
      <c r="Z46" s="56">
        <f>SUM(V46:Y46)</f>
        <v>0</v>
      </c>
      <c r="AA46" s="57">
        <f>COUNT(V46:Y46)</f>
        <v>0</v>
      </c>
      <c r="AB46" s="58">
        <f>COUNTIF(V46:Y46,3)</f>
        <v>0</v>
      </c>
      <c r="AC46" s="59">
        <f>COUNTIF(V46:Y46,0)</f>
        <v>0</v>
      </c>
      <c r="AD46" s="59">
        <f>COUNTIF(V46:Y46,1)</f>
        <v>0</v>
      </c>
      <c r="AE46" s="59">
        <f>SUM(H20+G36+H51)</f>
        <v>0</v>
      </c>
      <c r="AF46" s="59">
        <f>H36+G51+G20</f>
        <v>0</v>
      </c>
      <c r="AG46" s="34">
        <f>AE46-AF46</f>
        <v>0</v>
      </c>
      <c r="AH46" s="15"/>
      <c r="AI46" s="60">
        <f>AI45-0.001</f>
        <v>9.7000000000000003E-2</v>
      </c>
      <c r="AJ46" s="61">
        <f>(Z46*10000)+(AG46*100)+(AE46*10)+AI46</f>
        <v>9.7000000000000003E-2</v>
      </c>
      <c r="AK46" s="62">
        <f>RANK(AJ46,AJ$42:AJ$46)</f>
        <v>4</v>
      </c>
      <c r="AL46" s="15"/>
      <c r="AM46" s="36">
        <v>4</v>
      </c>
      <c r="AN46" s="7"/>
      <c r="AO46" s="100" t="str">
        <f ca="1">OFFSET(U$42,MATCH(AM46,$AK$43:$AK$46,0),0)</f>
        <v>Slovakia</v>
      </c>
      <c r="AP46" s="101">
        <f ca="1">OFFSET(AA$42,MATCH(AM46,$AK$43:$AK$46,0),0)</f>
        <v>0</v>
      </c>
      <c r="AQ46" s="102">
        <f ca="1">OFFSET(AB$42,MATCH(AM46,$AK$43:$AK$46,0),0)</f>
        <v>0</v>
      </c>
      <c r="AR46" s="102">
        <f ca="1">OFFSET(AC$42,MATCH(AM46,$AK$43:$AK$46,0),0)</f>
        <v>0</v>
      </c>
      <c r="AS46" s="102">
        <f ca="1">OFFSET(AD$42,MATCH(AM46,$AK$43:$AK$46,0),0)</f>
        <v>0</v>
      </c>
      <c r="AT46" s="102">
        <f ca="1">OFFSET(AE$42,MATCH(AM46,$AK$43:$AK$46,0),0)</f>
        <v>0</v>
      </c>
      <c r="AU46" s="102">
        <f ca="1">OFFSET(AF$42,MATCH(AM46,$AK$43:$AK$46,0),0)</f>
        <v>0</v>
      </c>
      <c r="AV46" s="102">
        <f ca="1">OFFSET(AG$42,MATCH(AM46,$AK$43:$AK$46,0),0)</f>
        <v>0</v>
      </c>
      <c r="AW46" s="103">
        <f ca="1">OFFSET(Z$42,MATCH(AM46,$AK$43:$AK$46,0),0)</f>
        <v>0</v>
      </c>
      <c r="AY46" s="176"/>
      <c r="AZ46" s="143"/>
      <c r="BA46" s="143"/>
      <c r="BB46" s="143"/>
      <c r="BC46" s="143"/>
      <c r="BD46" s="143"/>
      <c r="BE46" s="143"/>
      <c r="BF46" s="143"/>
      <c r="BG46" s="143"/>
      <c r="BH46" s="92"/>
      <c r="BI46" s="8"/>
      <c r="BJ46" s="4"/>
      <c r="BK46" s="4"/>
      <c r="BL46" s="4"/>
      <c r="BO46" s="4"/>
      <c r="BP46" s="4"/>
      <c r="BQ46" s="4"/>
      <c r="BR46" s="4"/>
      <c r="BS46" s="4"/>
      <c r="BT46" s="4"/>
      <c r="BU46" s="4"/>
      <c r="BV46" s="4"/>
    </row>
    <row r="47" spans="1:74" ht="17.399999999999999" customHeight="1" thickBot="1">
      <c r="A47" s="6"/>
      <c r="B47" s="72">
        <f t="shared" si="2"/>
        <v>37</v>
      </c>
      <c r="C47" s="73" t="s">
        <v>152</v>
      </c>
      <c r="D47" s="74">
        <v>0.66666666666666663</v>
      </c>
      <c r="E47" s="75"/>
      <c r="F47" s="76" t="s">
        <v>60</v>
      </c>
      <c r="G47" s="93"/>
      <c r="H47" s="94"/>
      <c r="I47" s="78" t="s">
        <v>70</v>
      </c>
      <c r="J47" s="78"/>
      <c r="K47" s="78"/>
      <c r="L47" s="95"/>
      <c r="M47" s="96"/>
      <c r="N47" s="78"/>
      <c r="O47" s="81" t="s">
        <v>38</v>
      </c>
      <c r="P47" s="110" t="s">
        <v>62</v>
      </c>
      <c r="Q47" s="83"/>
      <c r="R47" s="52"/>
      <c r="S47" s="14"/>
      <c r="T47" s="15"/>
      <c r="U47" s="14"/>
      <c r="V47" s="156"/>
      <c r="W47" s="157"/>
      <c r="X47" s="157"/>
      <c r="Y47" s="14"/>
      <c r="Z47" s="52"/>
      <c r="AA47" s="52"/>
      <c r="AB47" s="52"/>
      <c r="AC47" s="52"/>
      <c r="AD47" s="52"/>
      <c r="AE47" s="52"/>
      <c r="AF47" s="52"/>
      <c r="AG47" s="52"/>
      <c r="AH47" s="15"/>
      <c r="AI47" s="158"/>
      <c r="AJ47" s="159"/>
      <c r="AK47" s="36"/>
      <c r="AL47" s="14"/>
      <c r="AM47" s="36"/>
      <c r="AN47" s="7"/>
      <c r="AO47" s="160"/>
      <c r="AP47" s="161"/>
      <c r="AQ47" s="162"/>
      <c r="AR47" s="162"/>
      <c r="AS47" s="162"/>
      <c r="AT47" s="162"/>
      <c r="AU47" s="162"/>
      <c r="AV47" s="162"/>
      <c r="AW47" s="161"/>
      <c r="AY47" s="176"/>
      <c r="AZ47" s="241" t="s">
        <v>153</v>
      </c>
      <c r="BA47" s="241"/>
      <c r="BB47" s="241"/>
      <c r="BC47" s="242"/>
      <c r="BD47" s="238" t="str">
        <f>IF(BD45&lt;&gt;"",IF(BD45&gt;BE45,BC45,IF(BE45&gt;BD45,BF45,"Error - Nominate A Winner")),"2010 WORLD CUP WINNER")</f>
        <v>2010 WORLD CUP WINNER</v>
      </c>
      <c r="BE47" s="239"/>
      <c r="BF47" s="239"/>
      <c r="BG47" s="240"/>
      <c r="BH47" s="92"/>
      <c r="BI47" s="8"/>
      <c r="BJ47" s="4"/>
      <c r="BK47" s="4"/>
      <c r="BL47" s="4"/>
      <c r="BM47" s="138" t="s">
        <v>154</v>
      </c>
      <c r="BN47" s="14" t="str">
        <f>BC41</f>
        <v>Loser SF-1</v>
      </c>
      <c r="BO47" s="4"/>
      <c r="BP47" s="4"/>
      <c r="BQ47" s="4"/>
      <c r="BR47" s="4"/>
      <c r="BS47" s="4"/>
      <c r="BT47" s="4"/>
      <c r="BU47" s="4"/>
      <c r="BV47" s="4"/>
    </row>
    <row r="48" spans="1:74" ht="19.5" customHeight="1" thickBot="1">
      <c r="A48" s="6"/>
      <c r="B48" s="72">
        <f t="shared" si="2"/>
        <v>38</v>
      </c>
      <c r="C48" s="73" t="s">
        <v>152</v>
      </c>
      <c r="D48" s="74">
        <v>0.66666666666666663</v>
      </c>
      <c r="E48" s="75"/>
      <c r="F48" s="76" t="s">
        <v>61</v>
      </c>
      <c r="G48" s="93"/>
      <c r="H48" s="94"/>
      <c r="I48" s="78" t="s">
        <v>69</v>
      </c>
      <c r="J48" s="78"/>
      <c r="K48" s="78"/>
      <c r="L48" s="95"/>
      <c r="M48" s="96"/>
      <c r="N48" s="78"/>
      <c r="O48" s="81" t="s">
        <v>78</v>
      </c>
      <c r="P48" s="110" t="s">
        <v>62</v>
      </c>
      <c r="Q48" s="83"/>
      <c r="R48" s="52"/>
      <c r="S48" s="14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4"/>
      <c r="AN48" s="7"/>
      <c r="AO48" s="227"/>
      <c r="AP48" s="206"/>
      <c r="AQ48" s="206"/>
      <c r="AR48" s="205" t="s">
        <v>155</v>
      </c>
      <c r="AS48" s="206"/>
      <c r="AT48" s="206"/>
      <c r="AU48" s="206"/>
      <c r="AV48" s="206"/>
      <c r="AW48" s="207"/>
      <c r="AY48" s="121"/>
      <c r="AZ48" s="122"/>
      <c r="BA48" s="122"/>
      <c r="BB48" s="122"/>
      <c r="BC48" s="122"/>
      <c r="BD48" s="122"/>
      <c r="BE48" s="122"/>
      <c r="BF48" s="122"/>
      <c r="BG48" s="122"/>
      <c r="BH48" s="123"/>
      <c r="BI48" s="8"/>
      <c r="BJ48" s="4"/>
      <c r="BK48" s="4"/>
      <c r="BL48" s="4"/>
      <c r="BM48" s="138" t="s">
        <v>156</v>
      </c>
      <c r="BN48" s="14" t="str">
        <f>BF41</f>
        <v>Loser SF-2</v>
      </c>
      <c r="BO48" s="4"/>
      <c r="BP48" s="4"/>
      <c r="BQ48" s="4"/>
      <c r="BR48" s="4"/>
      <c r="BS48" s="4"/>
      <c r="BT48" s="4"/>
      <c r="BU48" s="4"/>
      <c r="BV48" s="4"/>
    </row>
    <row r="49" spans="1:74" ht="17.399999999999999" customHeight="1">
      <c r="A49" s="6"/>
      <c r="B49" s="72">
        <f t="shared" si="2"/>
        <v>39</v>
      </c>
      <c r="C49" s="73" t="s">
        <v>152</v>
      </c>
      <c r="D49" s="74">
        <v>0.85416666666666663</v>
      </c>
      <c r="E49" s="75"/>
      <c r="F49" s="76" t="s">
        <v>74</v>
      </c>
      <c r="G49" s="93"/>
      <c r="H49" s="94"/>
      <c r="I49" s="78" t="s">
        <v>82</v>
      </c>
      <c r="J49" s="78"/>
      <c r="K49" s="78"/>
      <c r="L49" s="95"/>
      <c r="M49" s="96"/>
      <c r="N49" s="78"/>
      <c r="O49" s="81" t="s">
        <v>35</v>
      </c>
      <c r="P49" s="113" t="s">
        <v>16</v>
      </c>
      <c r="Q49" s="83"/>
      <c r="R49" s="52"/>
      <c r="S49" s="14"/>
      <c r="T49" s="15"/>
      <c r="U49" s="30" t="s">
        <v>11</v>
      </c>
      <c r="V49" s="31" t="str">
        <f>U50</f>
        <v>Ivory Coast</v>
      </c>
      <c r="W49" s="31" t="str">
        <f>U51</f>
        <v>Portugal</v>
      </c>
      <c r="X49" s="31" t="str">
        <f>U52</f>
        <v>Brazil</v>
      </c>
      <c r="Y49" s="31" t="str">
        <f>U53</f>
        <v>North Korea</v>
      </c>
      <c r="Z49" s="32" t="s">
        <v>12</v>
      </c>
      <c r="AA49" s="33" t="s">
        <v>13</v>
      </c>
      <c r="AB49" s="33" t="s">
        <v>14</v>
      </c>
      <c r="AC49" s="33" t="s">
        <v>15</v>
      </c>
      <c r="AD49" s="33" t="s">
        <v>16</v>
      </c>
      <c r="AE49" s="33" t="s">
        <v>17</v>
      </c>
      <c r="AF49" s="33" t="s">
        <v>18</v>
      </c>
      <c r="AG49" s="34" t="s">
        <v>19</v>
      </c>
      <c r="AH49" s="15"/>
      <c r="AI49" s="35" t="s">
        <v>20</v>
      </c>
      <c r="AJ49" s="35" t="s">
        <v>21</v>
      </c>
      <c r="AK49" s="35" t="s">
        <v>22</v>
      </c>
      <c r="AL49" s="15"/>
      <c r="AM49" s="36" t="s">
        <v>23</v>
      </c>
      <c r="AN49" s="7"/>
      <c r="AO49" s="37"/>
      <c r="AP49" s="38" t="s">
        <v>13</v>
      </c>
      <c r="AQ49" s="39" t="s">
        <v>14</v>
      </c>
      <c r="AR49" s="39" t="s">
        <v>15</v>
      </c>
      <c r="AS49" s="39" t="s">
        <v>16</v>
      </c>
      <c r="AT49" s="39" t="s">
        <v>17</v>
      </c>
      <c r="AU49" s="39" t="s">
        <v>18</v>
      </c>
      <c r="AV49" s="39" t="s">
        <v>19</v>
      </c>
      <c r="AW49" s="40" t="s">
        <v>24</v>
      </c>
      <c r="AY49" s="243"/>
      <c r="AZ49" s="243"/>
      <c r="BA49" s="243"/>
      <c r="BB49" s="243"/>
      <c r="BC49" s="243"/>
      <c r="BD49" s="243"/>
      <c r="BE49" s="243"/>
      <c r="BF49" s="243"/>
      <c r="BG49" s="244"/>
      <c r="BH49" s="244"/>
      <c r="BI49" s="177"/>
      <c r="BJ49" s="4"/>
      <c r="BK49" s="4"/>
      <c r="BL49" s="4"/>
      <c r="BM49" s="14" t="s">
        <v>157</v>
      </c>
      <c r="BN49" s="14" t="str">
        <f>BC45</f>
        <v>Winner SF-1</v>
      </c>
      <c r="BO49" s="4"/>
      <c r="BP49" s="4"/>
      <c r="BQ49" s="4"/>
      <c r="BR49" s="4"/>
      <c r="BS49" s="4"/>
      <c r="BT49" s="4"/>
      <c r="BU49" s="4"/>
      <c r="BV49" s="4"/>
    </row>
    <row r="50" spans="1:74" ht="20.25" customHeight="1">
      <c r="A50" s="6"/>
      <c r="B50" s="72">
        <f t="shared" si="2"/>
        <v>40</v>
      </c>
      <c r="C50" s="73" t="s">
        <v>152</v>
      </c>
      <c r="D50" s="74">
        <v>0.85416666666666663</v>
      </c>
      <c r="E50" s="75"/>
      <c r="F50" s="76" t="s">
        <v>75</v>
      </c>
      <c r="G50" s="93"/>
      <c r="H50" s="94"/>
      <c r="I50" s="78" t="s">
        <v>81</v>
      </c>
      <c r="J50" s="78"/>
      <c r="K50" s="78"/>
      <c r="L50" s="95"/>
      <c r="M50" s="96"/>
      <c r="N50" s="78"/>
      <c r="O50" s="81" t="s">
        <v>114</v>
      </c>
      <c r="P50" s="113" t="s">
        <v>16</v>
      </c>
      <c r="Q50" s="83"/>
      <c r="R50" s="52"/>
      <c r="S50" s="14"/>
      <c r="T50" s="15"/>
      <c r="U50" s="84" t="str">
        <f>F21</f>
        <v>Ivory Coast</v>
      </c>
      <c r="V50" s="54"/>
      <c r="W50" s="55" t="str">
        <f>IF(G21="","",IF(G21=H21,1,IF(G21&gt;H21,3,IF(G21&lt;H21,0,))))</f>
        <v/>
      </c>
      <c r="X50" s="55" t="str">
        <f>IF(G38="","",IF(G38=H38,1,IF(G38&gt;H38,3,IF(G38&lt;H38,0,))))</f>
        <v/>
      </c>
      <c r="Y50" s="55" t="str">
        <f>IF(G56="","",IF(G56=H56,1,IF(G56&gt;H56,3,IF(G56&lt;H56,0,))))</f>
        <v/>
      </c>
      <c r="Z50" s="56">
        <f>SUM(V50:Y50)</f>
        <v>0</v>
      </c>
      <c r="AA50" s="57">
        <f>COUNT(V50:Y50)</f>
        <v>0</v>
      </c>
      <c r="AB50" s="58">
        <f>COUNTIF(V50:Y50,3)</f>
        <v>0</v>
      </c>
      <c r="AC50" s="59">
        <f>COUNTIF(V50:Y50,0)</f>
        <v>0</v>
      </c>
      <c r="AD50" s="59">
        <f>COUNTIF(V50:Y50,1)</f>
        <v>0</v>
      </c>
      <c r="AE50" s="59">
        <f>SUM(G21+G38+G56)</f>
        <v>0</v>
      </c>
      <c r="AF50" s="59">
        <f>H21+H38+H56</f>
        <v>0</v>
      </c>
      <c r="AG50" s="34">
        <f>AE50-AF50</f>
        <v>0</v>
      </c>
      <c r="AH50" s="15"/>
      <c r="AI50" s="60">
        <v>0.1</v>
      </c>
      <c r="AJ50" s="61">
        <f>(Z50*10000)+(AG50*100)+(AE50*10)+AI50</f>
        <v>0.1</v>
      </c>
      <c r="AK50" s="62">
        <f>RANK(AJ50,AJ$49:AJ$53)</f>
        <v>1</v>
      </c>
      <c r="AL50" s="15"/>
      <c r="AM50" s="36">
        <v>1</v>
      </c>
      <c r="AN50" s="7"/>
      <c r="AO50" s="178" t="str">
        <f ca="1">OFFSET(U$49,MATCH(AM50,$AK$50:$AK$53,0),0)</f>
        <v>Ivory Coast</v>
      </c>
      <c r="AP50" s="64">
        <f ca="1">OFFSET(AA$49,MATCH(AM50,$AK$50:$AK$53,0),0)</f>
        <v>0</v>
      </c>
      <c r="AQ50" s="65">
        <f ca="1">OFFSET(AB$49,MATCH(AM50,$AK$50:$AK$53,0),0)</f>
        <v>0</v>
      </c>
      <c r="AR50" s="65">
        <f ca="1">OFFSET(AC$49,MATCH(AM50,$AK$50:$AK$53,0),0)</f>
        <v>0</v>
      </c>
      <c r="AS50" s="65">
        <f ca="1">OFFSET(AD$49,MATCH(AM50,$AK$50:$AK$53,0),0)</f>
        <v>0</v>
      </c>
      <c r="AT50" s="65">
        <f ca="1">OFFSET(AE$49,MATCH(AM50,$AK$50:$AK$53,0),0)</f>
        <v>0</v>
      </c>
      <c r="AU50" s="65">
        <f ca="1">OFFSET(AF$49,MATCH(AM50,$AK$50:$AK$53,0),0)</f>
        <v>0</v>
      </c>
      <c r="AV50" s="65">
        <f ca="1">OFFSET(AG$49,MATCH(AM50,$AK$50:$AK$53,0),0)</f>
        <v>0</v>
      </c>
      <c r="AW50" s="66">
        <f ca="1">OFFSET(Z$49,MATCH(AM50,$AK$50:$AK$53,0),0)</f>
        <v>0</v>
      </c>
      <c r="BD50" s="4"/>
      <c r="BE50" s="4"/>
      <c r="BF50" s="4"/>
      <c r="BG50" s="7"/>
      <c r="BH50" s="4"/>
      <c r="BI50" s="8"/>
      <c r="BJ50" s="4"/>
      <c r="BK50" s="4"/>
      <c r="BL50" s="4"/>
      <c r="BM50" s="14" t="s">
        <v>158</v>
      </c>
      <c r="BN50" s="14" t="str">
        <f>BF45</f>
        <v>Winner SF-2</v>
      </c>
      <c r="BO50" s="4"/>
      <c r="BP50" s="4"/>
      <c r="BQ50" s="4"/>
      <c r="BR50" s="4"/>
      <c r="BS50" s="4"/>
      <c r="BT50" s="4"/>
      <c r="BU50" s="4"/>
      <c r="BV50" s="4"/>
    </row>
    <row r="51" spans="1:74" ht="17.399999999999999" customHeight="1">
      <c r="A51" s="6"/>
      <c r="B51" s="72">
        <f t="shared" si="2"/>
        <v>41</v>
      </c>
      <c r="C51" s="73" t="s">
        <v>159</v>
      </c>
      <c r="D51" s="74">
        <v>0.66666666666666663</v>
      </c>
      <c r="E51" s="75"/>
      <c r="F51" s="76" t="s">
        <v>93</v>
      </c>
      <c r="G51" s="93"/>
      <c r="H51" s="94"/>
      <c r="I51" s="78" t="s">
        <v>99</v>
      </c>
      <c r="J51" s="78"/>
      <c r="K51" s="78"/>
      <c r="L51" s="95"/>
      <c r="M51" s="96"/>
      <c r="N51" s="78"/>
      <c r="O51" s="81" t="s">
        <v>35</v>
      </c>
      <c r="P51" s="124" t="s">
        <v>17</v>
      </c>
      <c r="Q51" s="83"/>
      <c r="R51" s="52"/>
      <c r="S51" s="14"/>
      <c r="T51" s="15"/>
      <c r="U51" s="84" t="str">
        <f>I21</f>
        <v>Portugal</v>
      </c>
      <c r="V51" s="85" t="str">
        <f>IF(W50="","",IF(W50=0,3,IF(W50=1,1,IF(W50=3,0,))))</f>
        <v/>
      </c>
      <c r="W51" s="54"/>
      <c r="X51" s="55" t="str">
        <f>IF(G55="","",IF(G55=H55,1,IF(G55&gt;H55,3,IF(G55&lt;H55,0,))))</f>
        <v/>
      </c>
      <c r="Y51" s="85" t="str">
        <f>IF(W53="","",IF(W53=0,3,IF(W53=1,1,IF(W53=3,0,))))</f>
        <v/>
      </c>
      <c r="Z51" s="56">
        <f>SUM(V51:Y51)</f>
        <v>0</v>
      </c>
      <c r="AA51" s="57">
        <f>COUNT(V51:Y51)</f>
        <v>0</v>
      </c>
      <c r="AB51" s="58">
        <f>COUNTIF(V51:Y51,3)</f>
        <v>0</v>
      </c>
      <c r="AC51" s="59">
        <f>COUNTIF(V51:Y51,0)</f>
        <v>0</v>
      </c>
      <c r="AD51" s="59">
        <f>COUNTIF(V51:Y51,1)</f>
        <v>0</v>
      </c>
      <c r="AE51" s="59">
        <f>SUM(H39+H21+G55)</f>
        <v>0</v>
      </c>
      <c r="AF51" s="59">
        <f>G21+G39+H55</f>
        <v>0</v>
      </c>
      <c r="AG51" s="34">
        <f>AE51-AF51</f>
        <v>0</v>
      </c>
      <c r="AH51" s="15"/>
      <c r="AI51" s="60">
        <f>AI50-0.001</f>
        <v>9.9000000000000005E-2</v>
      </c>
      <c r="AJ51" s="61">
        <f>(Z51*10000)+(AG51*100)+(AE51*10)+AI51</f>
        <v>9.9000000000000005E-2</v>
      </c>
      <c r="AK51" s="62">
        <f>RANK(AJ51,AJ$49:AJ$53)</f>
        <v>2</v>
      </c>
      <c r="AL51" s="15"/>
      <c r="AM51" s="36">
        <v>2</v>
      </c>
      <c r="AN51" s="7"/>
      <c r="AO51" s="178" t="str">
        <f ca="1">OFFSET(U$49,MATCH(AM51,$AK$50:$AK$53,0),0)</f>
        <v>Portugal</v>
      </c>
      <c r="AP51" s="64">
        <f ca="1">OFFSET(AA$49,MATCH(AM51,$AK$50:$AK$53,0),0)</f>
        <v>0</v>
      </c>
      <c r="AQ51" s="65">
        <f ca="1">OFFSET(AB$49,MATCH(AM51,$AK$50:$AK$53,0),0)</f>
        <v>0</v>
      </c>
      <c r="AR51" s="65">
        <f ca="1">OFFSET(AC$49,MATCH(AM51,$AK$50:$AK$53,0),0)</f>
        <v>0</v>
      </c>
      <c r="AS51" s="65">
        <f ca="1">OFFSET(AD$49,MATCH(AM51,$AK$50:$AK$53,0),0)</f>
        <v>0</v>
      </c>
      <c r="AT51" s="65">
        <f ca="1">OFFSET(AE$49,MATCH(AM51,$AK$50:$AK$53,0),0)</f>
        <v>0</v>
      </c>
      <c r="AU51" s="65">
        <f ca="1">OFFSET(AF$49,MATCH(AM51,$AK$50:$AK$53,0),0)</f>
        <v>0</v>
      </c>
      <c r="AV51" s="65">
        <f ca="1">OFFSET(AG$49,MATCH(AM51,$AK$50:$AK$53,0),0)</f>
        <v>0</v>
      </c>
      <c r="AW51" s="66">
        <f ca="1">OFFSET(Z$49,MATCH(AM51,$AK$50:$AK$53,0),0)</f>
        <v>0</v>
      </c>
      <c r="BD51" s="4"/>
      <c r="BE51" s="4"/>
      <c r="BF51" s="4"/>
      <c r="BG51" s="7"/>
      <c r="BH51" s="4"/>
      <c r="BI51" s="177"/>
      <c r="BJ51" s="4"/>
      <c r="BK51" s="4"/>
      <c r="BL51" s="4"/>
      <c r="BM51" s="14"/>
      <c r="BN51" s="14"/>
      <c r="BO51" s="4"/>
      <c r="BP51" s="4"/>
      <c r="BQ51" s="4"/>
      <c r="BR51" s="4"/>
      <c r="BS51" s="4"/>
      <c r="BT51" s="4"/>
      <c r="BU51" s="4"/>
      <c r="BV51" s="4"/>
    </row>
    <row r="52" spans="1:74" ht="17.399999999999999" customHeight="1">
      <c r="A52" s="6"/>
      <c r="B52" s="72">
        <f t="shared" si="2"/>
        <v>42</v>
      </c>
      <c r="C52" s="73" t="s">
        <v>159</v>
      </c>
      <c r="D52" s="74">
        <v>0.66666666666666663</v>
      </c>
      <c r="E52" s="75"/>
      <c r="F52" s="76" t="s">
        <v>94</v>
      </c>
      <c r="G52" s="93"/>
      <c r="H52" s="94"/>
      <c r="I52" s="78" t="s">
        <v>98</v>
      </c>
      <c r="J52" s="78"/>
      <c r="K52" s="78"/>
      <c r="L52" s="95"/>
      <c r="M52" s="96"/>
      <c r="N52" s="78"/>
      <c r="O52" s="81" t="s">
        <v>71</v>
      </c>
      <c r="P52" s="124" t="s">
        <v>17</v>
      </c>
      <c r="Q52" s="83"/>
      <c r="R52" s="52"/>
      <c r="S52" s="14"/>
      <c r="T52" s="15"/>
      <c r="U52" s="84" t="str">
        <f>F22</f>
        <v>Brazil</v>
      </c>
      <c r="V52" s="85" t="str">
        <f>IF(X50="","",IF(X50=0,3,IF(X50=1,1,IF(X50=3,0,))))</f>
        <v/>
      </c>
      <c r="W52" s="85" t="str">
        <f>IF(X51="","",IF(X51=0,3,IF(X51=1,1,IF(X51=3,0,))))</f>
        <v/>
      </c>
      <c r="X52" s="54"/>
      <c r="Y52" s="55" t="str">
        <f>IF(G22="","",IF(G22=H22,1,IF(G22&gt;H22,3,IF(G22&lt;H22,0,))))</f>
        <v/>
      </c>
      <c r="Z52" s="56">
        <f>SUM(V52:Y52)</f>
        <v>0</v>
      </c>
      <c r="AA52" s="57">
        <f>COUNT(V52:Y52)</f>
        <v>0</v>
      </c>
      <c r="AB52" s="58">
        <f>COUNTIF(V52:Y52,3)</f>
        <v>0</v>
      </c>
      <c r="AC52" s="59">
        <f>COUNTIF(V52:Y52,0)</f>
        <v>0</v>
      </c>
      <c r="AD52" s="59">
        <f>COUNTIF(V52:Y52,1)</f>
        <v>0</v>
      </c>
      <c r="AE52" s="59">
        <f>SUM(H38+G22+H55)</f>
        <v>0</v>
      </c>
      <c r="AF52" s="59">
        <f>H22+G38+G55</f>
        <v>0</v>
      </c>
      <c r="AG52" s="34">
        <f>AE52-AF52</f>
        <v>0</v>
      </c>
      <c r="AH52" s="15"/>
      <c r="AI52" s="60">
        <f>AI51-0.001</f>
        <v>9.8000000000000004E-2</v>
      </c>
      <c r="AJ52" s="61">
        <f>(Z52*10000)+(AG52*100)+(AE52*10)+AI52</f>
        <v>9.8000000000000004E-2</v>
      </c>
      <c r="AK52" s="62">
        <f>RANK(AJ52,AJ$49:AJ$53)</f>
        <v>3</v>
      </c>
      <c r="AL52" s="15"/>
      <c r="AM52" s="36">
        <v>3</v>
      </c>
      <c r="AN52" s="7"/>
      <c r="AO52" s="178" t="str">
        <f ca="1">OFFSET(U$49,MATCH(AM52,$AK$50:$AK$53,0),0)</f>
        <v>Brazil</v>
      </c>
      <c r="AP52" s="64">
        <f ca="1">OFFSET(AA$49,MATCH(AM52,$AK$50:$AK$53,0),0)</f>
        <v>0</v>
      </c>
      <c r="AQ52" s="65">
        <f ca="1">OFFSET(AB$49,MATCH(AM52,$AK$50:$AK$53,0),0)</f>
        <v>0</v>
      </c>
      <c r="AR52" s="65">
        <f ca="1">OFFSET(AC$49,MATCH(AM52,$AK$50:$AK$53,0),0)</f>
        <v>0</v>
      </c>
      <c r="AS52" s="65">
        <f ca="1">OFFSET(AD$49,MATCH(AM52,$AK$50:$AK$53,0),0)</f>
        <v>0</v>
      </c>
      <c r="AT52" s="65">
        <f ca="1">OFFSET(AE$49,MATCH(AM52,$AK$50:$AK$53,0),0)</f>
        <v>0</v>
      </c>
      <c r="AU52" s="65">
        <f ca="1">OFFSET(AF$49,MATCH(AM52,$AK$50:$AK$53,0),0)</f>
        <v>0</v>
      </c>
      <c r="AV52" s="65">
        <f ca="1">OFFSET(AG$49,MATCH(AM52,$AK$50:$AK$53,0),0)</f>
        <v>0</v>
      </c>
      <c r="AW52" s="66">
        <f ca="1">OFFSET(Z$49,MATCH(AM52,$AK$50:$AK$53,0),0)</f>
        <v>0</v>
      </c>
      <c r="BD52" s="4"/>
      <c r="BE52" s="4"/>
      <c r="BF52" s="4"/>
      <c r="BG52" s="7"/>
      <c r="BH52" s="4"/>
      <c r="BI52" s="8"/>
      <c r="BJ52" s="4"/>
      <c r="BK52" s="4"/>
      <c r="BL52" s="4"/>
      <c r="BM52" s="138"/>
      <c r="BN52" s="14"/>
      <c r="BO52" s="4"/>
      <c r="BP52" s="4"/>
      <c r="BQ52" s="4"/>
      <c r="BR52" s="4"/>
      <c r="BS52" s="4"/>
      <c r="BT52" s="4"/>
      <c r="BU52" s="4"/>
      <c r="BV52" s="4"/>
    </row>
    <row r="53" spans="1:74" ht="17.399999999999999" customHeight="1" thickBot="1">
      <c r="A53" s="6"/>
      <c r="B53" s="72">
        <f t="shared" si="2"/>
        <v>43</v>
      </c>
      <c r="C53" s="73" t="s">
        <v>159</v>
      </c>
      <c r="D53" s="74">
        <v>0.85416666666666663</v>
      </c>
      <c r="E53" s="75"/>
      <c r="F53" s="76" t="s">
        <v>87</v>
      </c>
      <c r="G53" s="93"/>
      <c r="H53" s="94"/>
      <c r="I53" s="78" t="s">
        <v>90</v>
      </c>
      <c r="J53" s="78"/>
      <c r="K53" s="78"/>
      <c r="L53" s="95"/>
      <c r="M53" s="96"/>
      <c r="N53" s="78"/>
      <c r="O53" s="81" t="s">
        <v>44</v>
      </c>
      <c r="P53" s="120" t="s">
        <v>88</v>
      </c>
      <c r="Q53" s="83"/>
      <c r="R53" s="52"/>
      <c r="S53" s="14"/>
      <c r="T53" s="15"/>
      <c r="U53" s="84" t="str">
        <f>I22</f>
        <v>North Korea</v>
      </c>
      <c r="V53" s="85" t="str">
        <f>IF(Y50="","",IF(Y50=0,3,IF(Y50=1,1,IF(Y50=3,0,))))</f>
        <v/>
      </c>
      <c r="W53" s="55" t="str">
        <f>IF(G39="","",IF(G39=H39,1,IF(G39&gt;H39,3,IF(G39&lt;H39,0,))))</f>
        <v/>
      </c>
      <c r="X53" s="85" t="str">
        <f>IF(Y52="","",IF(Y52=0,3,IF(Y52=1,1,IF(Y52=3,0,))))</f>
        <v/>
      </c>
      <c r="Y53" s="54"/>
      <c r="Z53" s="56">
        <f>SUM(V53:Y53)</f>
        <v>0</v>
      </c>
      <c r="AA53" s="57">
        <f>COUNT(V53:Y53)</f>
        <v>0</v>
      </c>
      <c r="AB53" s="58">
        <f>COUNTIF(V53:Y53,3)</f>
        <v>0</v>
      </c>
      <c r="AC53" s="59">
        <f>COUNTIF(V53:Y53,0)</f>
        <v>0</v>
      </c>
      <c r="AD53" s="59">
        <f>COUNTIF(V53:Y53,1)</f>
        <v>0</v>
      </c>
      <c r="AE53" s="59">
        <f>SUM(G39+H22+H56)</f>
        <v>0</v>
      </c>
      <c r="AF53" s="59">
        <f>G22+G56+H39</f>
        <v>0</v>
      </c>
      <c r="AG53" s="34">
        <f>AE53-AF53</f>
        <v>0</v>
      </c>
      <c r="AH53" s="15"/>
      <c r="AI53" s="60">
        <f>AI52-0.001</f>
        <v>9.7000000000000003E-2</v>
      </c>
      <c r="AJ53" s="61">
        <f>(Z53*10000)+(AG53*100)+(AE53*10)+AI53</f>
        <v>9.7000000000000003E-2</v>
      </c>
      <c r="AK53" s="62">
        <f>RANK(AJ53,AJ$49:AJ$53)</f>
        <v>4</v>
      </c>
      <c r="AL53" s="15"/>
      <c r="AM53" s="36">
        <v>4</v>
      </c>
      <c r="AN53" s="7"/>
      <c r="AO53" s="179" t="str">
        <f ca="1">OFFSET(U$49,MATCH(AM53,$AK$50:$AK$53,0),0)</f>
        <v>North Korea</v>
      </c>
      <c r="AP53" s="101">
        <f ca="1">OFFSET(AA$49,MATCH(AM53,$AK$50:$AK$53,0),0)</f>
        <v>0</v>
      </c>
      <c r="AQ53" s="102">
        <f ca="1">OFFSET(AB$49,MATCH(AM53,$AK$50:$AK$53,0),0)</f>
        <v>0</v>
      </c>
      <c r="AR53" s="102">
        <f ca="1">OFFSET(AC$49,MATCH(AM53,$AK$50:$AK$53,0),0)</f>
        <v>0</v>
      </c>
      <c r="AS53" s="102">
        <f ca="1">OFFSET(AD$49,MATCH(AM53,$AK$50:$AK$53,0),0)</f>
        <v>0</v>
      </c>
      <c r="AT53" s="102">
        <f ca="1">OFFSET(AE$49,MATCH(AM53,$AK$50:$AK$53,0),0)</f>
        <v>0</v>
      </c>
      <c r="AU53" s="102">
        <f ca="1">OFFSET(AF$49,MATCH(AM53,$AK$50:$AK$53,0),0)</f>
        <v>0</v>
      </c>
      <c r="AV53" s="102">
        <f ca="1">OFFSET(AG$49,MATCH(AM53,$AK$50:$AK$53,0),0)</f>
        <v>0</v>
      </c>
      <c r="AW53" s="103">
        <f ca="1">OFFSET(Z$49,MATCH(AM53,$AK$50:$AK$53,0),0)</f>
        <v>0</v>
      </c>
      <c r="BD53" s="4"/>
      <c r="BE53" s="4"/>
      <c r="BF53" s="4"/>
      <c r="BG53" s="7"/>
      <c r="BH53" s="4"/>
      <c r="BI53" s="8"/>
      <c r="BJ53" s="4"/>
      <c r="BK53" s="4"/>
      <c r="BL53" s="4"/>
      <c r="BO53" s="4"/>
      <c r="BP53" s="4"/>
      <c r="BQ53" s="4"/>
      <c r="BR53" s="4"/>
      <c r="BS53" s="4"/>
      <c r="BT53" s="4"/>
      <c r="BU53" s="4"/>
      <c r="BV53" s="4"/>
    </row>
    <row r="54" spans="1:74" ht="17.399999999999999" customHeight="1" thickBot="1">
      <c r="A54" s="6"/>
      <c r="B54" s="72">
        <f t="shared" si="2"/>
        <v>44</v>
      </c>
      <c r="C54" s="73" t="s">
        <v>159</v>
      </c>
      <c r="D54" s="74">
        <v>0.85416666666666663</v>
      </c>
      <c r="E54" s="75"/>
      <c r="F54" s="76" t="s">
        <v>166</v>
      </c>
      <c r="G54" s="93"/>
      <c r="H54" s="94"/>
      <c r="I54" s="78" t="s">
        <v>91</v>
      </c>
      <c r="J54" s="78"/>
      <c r="K54" s="78"/>
      <c r="L54" s="95"/>
      <c r="M54" s="96"/>
      <c r="N54" s="78"/>
      <c r="O54" s="81" t="s">
        <v>42</v>
      </c>
      <c r="P54" s="120" t="s">
        <v>88</v>
      </c>
      <c r="Q54" s="83"/>
      <c r="R54" s="52"/>
      <c r="S54" s="14"/>
      <c r="T54" s="15"/>
      <c r="U54" s="14"/>
      <c r="V54" s="156"/>
      <c r="W54" s="157"/>
      <c r="X54" s="157"/>
      <c r="Y54" s="14"/>
      <c r="Z54" s="52"/>
      <c r="AA54" s="52"/>
      <c r="AB54" s="52"/>
      <c r="AC54" s="52"/>
      <c r="AD54" s="52"/>
      <c r="AE54" s="52"/>
      <c r="AF54" s="52"/>
      <c r="AG54" s="52"/>
      <c r="AH54" s="15"/>
      <c r="AI54" s="158"/>
      <c r="AJ54" s="159"/>
      <c r="AK54" s="36"/>
      <c r="AL54" s="14"/>
      <c r="AM54" s="36"/>
      <c r="AN54" s="7"/>
      <c r="AO54" s="160"/>
      <c r="AP54" s="161"/>
      <c r="AQ54" s="162"/>
      <c r="AR54" s="162"/>
      <c r="AS54" s="162"/>
      <c r="AT54" s="162"/>
      <c r="AU54" s="162"/>
      <c r="AV54" s="162"/>
      <c r="AW54" s="161"/>
      <c r="BD54" s="4"/>
      <c r="BE54" s="4"/>
      <c r="BF54" s="4"/>
      <c r="BG54" s="7"/>
      <c r="BH54" s="4"/>
      <c r="BI54" s="8"/>
      <c r="BJ54" s="4"/>
      <c r="BK54" s="4"/>
      <c r="BL54" s="4"/>
      <c r="BO54" s="4"/>
      <c r="BP54" s="4"/>
      <c r="BQ54" s="4"/>
      <c r="BR54" s="4"/>
      <c r="BS54" s="4"/>
      <c r="BT54" s="4"/>
      <c r="BU54" s="4"/>
      <c r="BV54" s="4"/>
    </row>
    <row r="55" spans="1:74" ht="17.399999999999999" customHeight="1" thickBot="1">
      <c r="A55" s="6"/>
      <c r="B55" s="72">
        <f t="shared" si="2"/>
        <v>45</v>
      </c>
      <c r="C55" s="73" t="s">
        <v>160</v>
      </c>
      <c r="D55" s="74">
        <v>0.66666666666666663</v>
      </c>
      <c r="E55" s="75"/>
      <c r="F55" s="76" t="s">
        <v>105</v>
      </c>
      <c r="G55" s="93"/>
      <c r="H55" s="94"/>
      <c r="I55" s="78" t="s">
        <v>108</v>
      </c>
      <c r="J55" s="78"/>
      <c r="K55" s="78"/>
      <c r="L55" s="95"/>
      <c r="M55" s="96"/>
      <c r="N55" s="78"/>
      <c r="O55" s="81" t="s">
        <v>66</v>
      </c>
      <c r="P55" s="130" t="s">
        <v>106</v>
      </c>
      <c r="Q55" s="83"/>
      <c r="R55" s="52"/>
      <c r="S55" s="14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4"/>
      <c r="AN55" s="7"/>
      <c r="AO55" s="228"/>
      <c r="AP55" s="218"/>
      <c r="AQ55" s="218"/>
      <c r="AR55" s="217" t="s">
        <v>161</v>
      </c>
      <c r="AS55" s="218"/>
      <c r="AT55" s="218"/>
      <c r="AU55" s="218"/>
      <c r="AV55" s="218"/>
      <c r="AW55" s="219"/>
      <c r="BD55" s="4"/>
      <c r="BE55" s="4"/>
      <c r="BF55" s="4"/>
      <c r="BG55" s="7"/>
      <c r="BH55" s="4"/>
      <c r="BI55" s="8"/>
      <c r="BJ55" s="4"/>
      <c r="BK55" s="4"/>
      <c r="BL55" s="4"/>
      <c r="BM55" s="180" t="s">
        <v>162</v>
      </c>
      <c r="BN55" s="14" t="str">
        <f>BD43</f>
        <v>Third Place Winner</v>
      </c>
      <c r="BO55" s="4"/>
      <c r="BP55" s="4"/>
      <c r="BQ55" s="4"/>
      <c r="BR55" s="4"/>
      <c r="BS55" s="4"/>
      <c r="BT55" s="4"/>
      <c r="BU55" s="4"/>
      <c r="BV55" s="4"/>
    </row>
    <row r="56" spans="1:74" ht="17.399999999999999" customHeight="1">
      <c r="A56" s="6"/>
      <c r="B56" s="72">
        <f t="shared" si="2"/>
        <v>46</v>
      </c>
      <c r="C56" s="73" t="s">
        <v>160</v>
      </c>
      <c r="D56" s="74">
        <v>0.66666666666666663</v>
      </c>
      <c r="E56" s="75"/>
      <c r="F56" s="76" t="s">
        <v>104</v>
      </c>
      <c r="G56" s="93"/>
      <c r="H56" s="94"/>
      <c r="I56" s="78" t="s">
        <v>109</v>
      </c>
      <c r="J56" s="78"/>
      <c r="K56" s="78"/>
      <c r="L56" s="95"/>
      <c r="M56" s="96"/>
      <c r="N56" s="78"/>
      <c r="O56" s="81" t="s">
        <v>114</v>
      </c>
      <c r="P56" s="130" t="s">
        <v>106</v>
      </c>
      <c r="Q56" s="83"/>
      <c r="R56" s="52"/>
      <c r="S56" s="14"/>
      <c r="T56" s="14"/>
      <c r="U56" s="30" t="s">
        <v>11</v>
      </c>
      <c r="V56" s="31" t="str">
        <f>U57</f>
        <v>Honduras</v>
      </c>
      <c r="W56" s="31" t="str">
        <f>U58</f>
        <v>Chile</v>
      </c>
      <c r="X56" s="31" t="str">
        <f>U59</f>
        <v>Spain</v>
      </c>
      <c r="Y56" s="31" t="str">
        <f>U60</f>
        <v>Switzerland</v>
      </c>
      <c r="Z56" s="32" t="s">
        <v>12</v>
      </c>
      <c r="AA56" s="33" t="s">
        <v>13</v>
      </c>
      <c r="AB56" s="33" t="s">
        <v>14</v>
      </c>
      <c r="AC56" s="33" t="s">
        <v>15</v>
      </c>
      <c r="AD56" s="33" t="s">
        <v>16</v>
      </c>
      <c r="AE56" s="33" t="s">
        <v>17</v>
      </c>
      <c r="AF56" s="33" t="s">
        <v>18</v>
      </c>
      <c r="AG56" s="34" t="s">
        <v>19</v>
      </c>
      <c r="AH56" s="15"/>
      <c r="AI56" s="35" t="s">
        <v>20</v>
      </c>
      <c r="AJ56" s="35" t="s">
        <v>21</v>
      </c>
      <c r="AK56" s="35" t="s">
        <v>22</v>
      </c>
      <c r="AL56" s="15"/>
      <c r="AM56" s="36" t="s">
        <v>23</v>
      </c>
      <c r="AN56" s="7"/>
      <c r="AO56" s="37"/>
      <c r="AP56" s="38" t="s">
        <v>13</v>
      </c>
      <c r="AQ56" s="39" t="s">
        <v>14</v>
      </c>
      <c r="AR56" s="39" t="s">
        <v>15</v>
      </c>
      <c r="AS56" s="39" t="s">
        <v>16</v>
      </c>
      <c r="AT56" s="39" t="s">
        <v>17</v>
      </c>
      <c r="AU56" s="39" t="s">
        <v>18</v>
      </c>
      <c r="AV56" s="39" t="s">
        <v>19</v>
      </c>
      <c r="AW56" s="40" t="s">
        <v>24</v>
      </c>
      <c r="BD56" s="4"/>
      <c r="BE56" s="4"/>
      <c r="BF56" s="4"/>
      <c r="BG56" s="7"/>
      <c r="BH56" s="4"/>
      <c r="BI56" s="8"/>
      <c r="BJ56" s="4"/>
      <c r="BK56" s="4"/>
      <c r="BL56" s="4"/>
      <c r="BM56" s="138"/>
      <c r="BN56" s="138"/>
      <c r="BO56" s="4"/>
      <c r="BP56" s="4"/>
      <c r="BQ56" s="4"/>
      <c r="BR56" s="4"/>
      <c r="BS56" s="4"/>
      <c r="BT56" s="4"/>
      <c r="BU56" s="4"/>
      <c r="BV56" s="4"/>
    </row>
    <row r="57" spans="1:74" ht="17.399999999999999" customHeight="1">
      <c r="A57" s="6"/>
      <c r="B57" s="72">
        <f t="shared" si="2"/>
        <v>47</v>
      </c>
      <c r="C57" s="73" t="s">
        <v>160</v>
      </c>
      <c r="D57" s="74">
        <v>0.85416666666666663</v>
      </c>
      <c r="E57" s="75"/>
      <c r="F57" s="76" t="s">
        <v>113</v>
      </c>
      <c r="G57" s="93"/>
      <c r="H57" s="94"/>
      <c r="I57" s="78" t="s">
        <v>117</v>
      </c>
      <c r="J57" s="78"/>
      <c r="K57" s="78"/>
      <c r="L57" s="95"/>
      <c r="M57" s="96"/>
      <c r="N57" s="78"/>
      <c r="O57" s="81" t="s">
        <v>78</v>
      </c>
      <c r="P57" s="132" t="s">
        <v>115</v>
      </c>
      <c r="Q57" s="83"/>
      <c r="R57" s="14"/>
      <c r="S57" s="14"/>
      <c r="T57" s="14"/>
      <c r="U57" s="181" t="str">
        <f>F23</f>
        <v>Honduras</v>
      </c>
      <c r="V57" s="54"/>
      <c r="W57" s="55" t="str">
        <f>IF(G23="","",IF(G23=H23,1,IF(G23&gt;H23,3,IF(G23&lt;H23,0,))))</f>
        <v/>
      </c>
      <c r="X57" s="55" t="str">
        <f>IF(G41="","",IF(G41=H41,1,IF(G41&gt;H41,3,IF(G41&lt;H41,0,))))</f>
        <v/>
      </c>
      <c r="Y57" s="55" t="str">
        <f>IF(G58="","",IF(G58=H58,1,IF(G58&gt;H58,3,IF(G58&lt;H58,0,))))</f>
        <v/>
      </c>
      <c r="Z57" s="32">
        <f>SUM(V57:Y57)</f>
        <v>0</v>
      </c>
      <c r="AA57" s="57">
        <f>COUNT(V57:Y57)</f>
        <v>0</v>
      </c>
      <c r="AB57" s="59">
        <f>COUNTIF(V57:Y57,3)</f>
        <v>0</v>
      </c>
      <c r="AC57" s="59">
        <f>COUNTIF(V57:Y57,0)</f>
        <v>0</v>
      </c>
      <c r="AD57" s="59">
        <f>COUNTIF(V57:Y57,1)</f>
        <v>0</v>
      </c>
      <c r="AE57" s="59">
        <f>SUM(G23+G58+G41)</f>
        <v>0</v>
      </c>
      <c r="AF57" s="59">
        <f>H23+H58+H41</f>
        <v>0</v>
      </c>
      <c r="AG57" s="34">
        <f>AE57-AF57</f>
        <v>0</v>
      </c>
      <c r="AH57" s="15"/>
      <c r="AI57" s="60">
        <v>0.1</v>
      </c>
      <c r="AJ57" s="61">
        <f>(Z57*10000)+(AG57*100)+(AE57*10)+AI57</f>
        <v>0.1</v>
      </c>
      <c r="AK57" s="62">
        <f>RANK(AJ57,AJ$56:AJ$60)</f>
        <v>1</v>
      </c>
      <c r="AL57" s="15"/>
      <c r="AM57" s="36">
        <v>1</v>
      </c>
      <c r="AN57" s="7"/>
      <c r="AO57" s="178" t="str">
        <f ca="1">OFFSET(U$56,MATCH(AM57,$AK$57:$AK$60,0),0)</f>
        <v>Honduras</v>
      </c>
      <c r="AP57" s="64">
        <f ca="1">OFFSET(AA$56,MATCH(AM57,$AK$57:$AK$60,0),0)</f>
        <v>0</v>
      </c>
      <c r="AQ57" s="65">
        <f ca="1">OFFSET(AB$56,MATCH(AM57,$AK$57:$AK$60,0),0)</f>
        <v>0</v>
      </c>
      <c r="AR57" s="65">
        <f ca="1">OFFSET(AC$56,MATCH(AM57,$AK$57:$AK$60,0),0)</f>
        <v>0</v>
      </c>
      <c r="AS57" s="65">
        <f ca="1">OFFSET(AD$56,MATCH(AM57,$AK$57:$AK$60,0),0)</f>
        <v>0</v>
      </c>
      <c r="AT57" s="65">
        <f ca="1">OFFSET(AE$56,MATCH(AM57,$AK$57:$AK$60,0),0)</f>
        <v>0</v>
      </c>
      <c r="AU57" s="65">
        <f ca="1">OFFSET(AF$56,MATCH(AM57,$AK$57:$AK$60,0),0)</f>
        <v>0</v>
      </c>
      <c r="AV57" s="65">
        <f ca="1">OFFSET(AG$56,MATCH(AM57,$AK$57:$AK$60,0),0)</f>
        <v>0</v>
      </c>
      <c r="AW57" s="66">
        <f ca="1">OFFSET(Z$56,MATCH(AM57,$AK$57:$AK$60,0),0)</f>
        <v>0</v>
      </c>
      <c r="BD57" s="4"/>
      <c r="BE57" s="4"/>
      <c r="BF57" s="4"/>
      <c r="BG57" s="7"/>
      <c r="BH57" s="4"/>
      <c r="BI57" s="8"/>
      <c r="BJ57" s="4"/>
      <c r="BK57" s="4"/>
      <c r="BL57" s="4"/>
      <c r="BO57" s="4"/>
      <c r="BP57" s="4"/>
      <c r="BQ57" s="4"/>
      <c r="BR57" s="4"/>
      <c r="BS57" s="4"/>
      <c r="BT57" s="4"/>
      <c r="BU57" s="4"/>
      <c r="BV57" s="4"/>
    </row>
    <row r="58" spans="1:74" ht="17.399999999999999" customHeight="1" thickBot="1">
      <c r="A58" s="6"/>
      <c r="B58" s="72">
        <f t="shared" si="2"/>
        <v>48</v>
      </c>
      <c r="C58" s="73" t="s">
        <v>160</v>
      </c>
      <c r="D58" s="74">
        <v>0.85416666666666663</v>
      </c>
      <c r="E58" s="75"/>
      <c r="F58" s="76" t="s">
        <v>112</v>
      </c>
      <c r="G58" s="134"/>
      <c r="H58" s="135"/>
      <c r="I58" s="78" t="s">
        <v>118</v>
      </c>
      <c r="J58" s="78"/>
      <c r="K58" s="78"/>
      <c r="L58" s="182"/>
      <c r="M58" s="183"/>
      <c r="N58" s="78"/>
      <c r="O58" s="81" t="s">
        <v>52</v>
      </c>
      <c r="P58" s="136" t="s">
        <v>115</v>
      </c>
      <c r="Q58" s="92"/>
      <c r="R58" s="184"/>
      <c r="S58" s="14"/>
      <c r="T58" s="14"/>
      <c r="U58" s="181" t="str">
        <f>I23</f>
        <v>Chile</v>
      </c>
      <c r="V58" s="85" t="str">
        <f>IF(W57="","",IF(W57=0,3,IF(W57=1,1,IF(W57=3,0,))))</f>
        <v/>
      </c>
      <c r="W58" s="54"/>
      <c r="X58" s="55" t="str">
        <f>IF(G57="","",IF(G57=H57,1,IF(G57&gt;H57,3,IF(G57&lt;H57,0,))))</f>
        <v/>
      </c>
      <c r="Y58" s="85" t="str">
        <f>IF(W60="","",IF(W60=0,3,IF(W60=1,1,IF(W60=3,0,))))</f>
        <v/>
      </c>
      <c r="Z58" s="32">
        <f>SUM(V58:Y58)</f>
        <v>0</v>
      </c>
      <c r="AA58" s="57">
        <f>COUNT(V58:Y58)</f>
        <v>0</v>
      </c>
      <c r="AB58" s="59">
        <f>COUNTIF(V58:Y58,3)</f>
        <v>0</v>
      </c>
      <c r="AC58" s="59">
        <f>COUNTIF(V58:Y58,0)</f>
        <v>0</v>
      </c>
      <c r="AD58" s="59">
        <f>COUNTIF(V58:Y58,1)</f>
        <v>0</v>
      </c>
      <c r="AE58" s="59">
        <f>SUM(H23+H40+G57)</f>
        <v>0</v>
      </c>
      <c r="AF58" s="59">
        <f>G23+G40+H57</f>
        <v>0</v>
      </c>
      <c r="AG58" s="34">
        <f>AE58-AF58</f>
        <v>0</v>
      </c>
      <c r="AH58" s="15"/>
      <c r="AI58" s="60">
        <f>AI57-0.001</f>
        <v>9.9000000000000005E-2</v>
      </c>
      <c r="AJ58" s="61">
        <f>(Z58*10000)+(AG58*100)+(AE58*10)+AI58</f>
        <v>9.9000000000000005E-2</v>
      </c>
      <c r="AK58" s="62">
        <f>RANK(AJ58,AJ$56:AJ$60)</f>
        <v>2</v>
      </c>
      <c r="AL58" s="15"/>
      <c r="AM58" s="36">
        <v>2</v>
      </c>
      <c r="AN58" s="7"/>
      <c r="AO58" s="178" t="str">
        <f ca="1">OFFSET(U$56,MATCH(AM58,$AK$57:$AK$60,0),0)</f>
        <v>Chile</v>
      </c>
      <c r="AP58" s="64">
        <f ca="1">OFFSET(AA$56,MATCH(AM58,$AK$57:$AK$60,0),0)</f>
        <v>0</v>
      </c>
      <c r="AQ58" s="65">
        <f ca="1">OFFSET(AB$56,MATCH(AM58,$AK$57:$AK$60,0),0)</f>
        <v>0</v>
      </c>
      <c r="AR58" s="65">
        <f ca="1">OFFSET(AC$56,MATCH(AM58,$AK$57:$AK$60,0),0)</f>
        <v>0</v>
      </c>
      <c r="AS58" s="65">
        <f ca="1">OFFSET(AD$56,MATCH(AM58,$AK$57:$AK$60,0),0)</f>
        <v>0</v>
      </c>
      <c r="AT58" s="65">
        <f ca="1">OFFSET(AE$56,MATCH(AM58,$AK$57:$AK$60,0),0)</f>
        <v>0</v>
      </c>
      <c r="AU58" s="65">
        <f ca="1">OFFSET(AF$56,MATCH(AM58,$AK$57:$AK$60,0),0)</f>
        <v>0</v>
      </c>
      <c r="AV58" s="65">
        <f ca="1">OFFSET(AG$56,MATCH(AM58,$AK$57:$AK$60,0),0)</f>
        <v>0</v>
      </c>
      <c r="AW58" s="66">
        <f ca="1">OFFSET(Z$56,MATCH(AM58,$AK$57:$AK$60,0),0)</f>
        <v>0</v>
      </c>
      <c r="BD58" s="4"/>
      <c r="BE58" s="4"/>
      <c r="BF58" s="4"/>
      <c r="BG58" s="7"/>
      <c r="BH58" s="4"/>
      <c r="BI58" s="8"/>
      <c r="BJ58" s="4"/>
      <c r="BK58" s="4"/>
      <c r="BL58" s="4"/>
      <c r="BO58" s="4"/>
      <c r="BP58" s="4"/>
      <c r="BQ58" s="4"/>
      <c r="BR58" s="4"/>
      <c r="BS58" s="4"/>
      <c r="BT58" s="4"/>
      <c r="BU58" s="4"/>
      <c r="BV58" s="4"/>
    </row>
    <row r="59" spans="1:74" ht="16.5" customHeight="1" thickBot="1">
      <c r="A59" s="6"/>
      <c r="B59" s="121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3"/>
      <c r="R59" s="185"/>
      <c r="S59" s="14"/>
      <c r="T59" s="14"/>
      <c r="U59" s="181" t="str">
        <f>F24</f>
        <v>Spain</v>
      </c>
      <c r="V59" s="85" t="str">
        <f>IF(X57="","",IF(X57=0,3,IF(X57=1,1,IF(X57=3,0,))))</f>
        <v/>
      </c>
      <c r="W59" s="85" t="str">
        <f>IF(X58="","",IF(X58=0,3,IF(X58=1,1,IF(X58=3,0,))))</f>
        <v/>
      </c>
      <c r="X59" s="54"/>
      <c r="Y59" s="55" t="str">
        <f>IF(G24="","",IF(G24=H24,1,IF(G24&gt;H24,3,IF(G24&lt;H24,0,))))</f>
        <v/>
      </c>
      <c r="Z59" s="32">
        <f>SUM(V59:Y59)</f>
        <v>0</v>
      </c>
      <c r="AA59" s="57">
        <f>COUNT(V59:Y59)</f>
        <v>0</v>
      </c>
      <c r="AB59" s="59">
        <f>COUNTIF(V59:Y59,3)</f>
        <v>0</v>
      </c>
      <c r="AC59" s="59">
        <f>COUNTIF(V59:Y59,0)</f>
        <v>0</v>
      </c>
      <c r="AD59" s="59">
        <f>COUNTIF(V59:Y59,1)</f>
        <v>0</v>
      </c>
      <c r="AE59" s="59">
        <f>SUM(H41+G24+H57)</f>
        <v>0</v>
      </c>
      <c r="AF59" s="59">
        <f>H24+G58+G41</f>
        <v>0</v>
      </c>
      <c r="AG59" s="34">
        <f>AE59-AF59</f>
        <v>0</v>
      </c>
      <c r="AH59" s="15"/>
      <c r="AI59" s="60">
        <f>AI58-0.001</f>
        <v>9.8000000000000004E-2</v>
      </c>
      <c r="AJ59" s="61">
        <f>(Z59*10000)+(AG59*100)+(AE59*10)+AI59</f>
        <v>9.8000000000000004E-2</v>
      </c>
      <c r="AK59" s="62">
        <f>RANK(AJ59,AJ$56:AJ$60)</f>
        <v>3</v>
      </c>
      <c r="AL59" s="15"/>
      <c r="AM59" s="36">
        <v>3</v>
      </c>
      <c r="AN59" s="7"/>
      <c r="AO59" s="178" t="str">
        <f ca="1">OFFSET(U$56,MATCH(AM59,$AK$57:$AK$60,0),0)</f>
        <v>Spain</v>
      </c>
      <c r="AP59" s="64">
        <f ca="1">OFFSET(AA$56,MATCH(AM59,$AK$57:$AK$60,0),0)</f>
        <v>0</v>
      </c>
      <c r="AQ59" s="65">
        <f ca="1">OFFSET(AB$56,MATCH(AM59,$AK$57:$AK$60,0),0)</f>
        <v>0</v>
      </c>
      <c r="AR59" s="65">
        <f ca="1">OFFSET(AC$56,MATCH(AM59,$AK$57:$AK$60,0),0)</f>
        <v>0</v>
      </c>
      <c r="AS59" s="65">
        <f ca="1">OFFSET(AD$56,MATCH(AM59,$AK$57:$AK$60,0),0)</f>
        <v>0</v>
      </c>
      <c r="AT59" s="65">
        <f ca="1">OFFSET(AE$56,MATCH(AM59,$AK$57:$AK$60,0),0)</f>
        <v>0</v>
      </c>
      <c r="AU59" s="65">
        <f ca="1">OFFSET(AF$56,MATCH(AM59,$AK$57:$AK$60,0),0)</f>
        <v>0</v>
      </c>
      <c r="AV59" s="65">
        <f ca="1">OFFSET(AG$56,MATCH(AM59,$AK$57:$AK$60,0),0)</f>
        <v>0</v>
      </c>
      <c r="AW59" s="66">
        <f ca="1">OFFSET(Z$56,MATCH(AM59,$AK$57:$AK$60,0),0)</f>
        <v>0</v>
      </c>
      <c r="BD59" s="4"/>
      <c r="BE59" s="4"/>
      <c r="BF59" s="4"/>
      <c r="BG59" s="7"/>
      <c r="BH59" s="4"/>
      <c r="BI59" s="8"/>
      <c r="BJ59" s="186"/>
      <c r="BK59" s="186"/>
      <c r="BL59" s="186"/>
      <c r="BM59" s="138" t="s">
        <v>163</v>
      </c>
      <c r="BN59" s="14" t="str">
        <f>BD47</f>
        <v>2010 WORLD CUP WINNER</v>
      </c>
      <c r="BO59" s="4"/>
      <c r="BP59" s="4"/>
      <c r="BQ59" s="4"/>
      <c r="BR59" s="4"/>
      <c r="BS59" s="4"/>
      <c r="BT59" s="4"/>
      <c r="BU59" s="4"/>
      <c r="BV59" s="4"/>
    </row>
    <row r="60" spans="1:74" ht="20.25" customHeight="1" thickBot="1">
      <c r="A60" s="6"/>
      <c r="B60" s="248" t="s">
        <v>345</v>
      </c>
      <c r="C60" s="249"/>
      <c r="D60" s="249"/>
      <c r="E60" s="249"/>
      <c r="F60" s="249"/>
      <c r="G60" s="250">
        <f>SUM(G9:H58)</f>
        <v>0</v>
      </c>
      <c r="H60" s="251"/>
      <c r="I60" s="187"/>
      <c r="J60" s="187"/>
      <c r="K60" s="187"/>
      <c r="L60" s="187"/>
      <c r="M60" s="187"/>
      <c r="N60" s="187"/>
      <c r="O60" s="187"/>
      <c r="P60" s="187"/>
      <c r="Q60" s="188"/>
      <c r="R60" s="14"/>
      <c r="S60" s="14"/>
      <c r="T60" s="14"/>
      <c r="U60" s="181" t="str">
        <f>I24</f>
        <v>Switzerland</v>
      </c>
      <c r="V60" s="85" t="str">
        <f>IF(Y57="","",IF(Y57=0,3,IF(Y57=1,1,IF(Y57=3,0,))))</f>
        <v/>
      </c>
      <c r="W60" s="55" t="str">
        <f>IF(G40="","",IF(G40=H40,1,IF(G40&gt;H40,3,IF(G40&lt;H40,0,))))</f>
        <v/>
      </c>
      <c r="X60" s="85" t="str">
        <f>IF(Y59="","",IF(Y59=0,3,IF(Y59=1,1,IF(Y59=3,0,))))</f>
        <v/>
      </c>
      <c r="Y60" s="54"/>
      <c r="Z60" s="32">
        <f>SUM(V60:Y60)</f>
        <v>0</v>
      </c>
      <c r="AA60" s="57">
        <f>COUNT(V60:Y60)</f>
        <v>0</v>
      </c>
      <c r="AB60" s="59">
        <f>COUNTIF(V60:Y60,3)</f>
        <v>0</v>
      </c>
      <c r="AC60" s="59">
        <f>COUNTIF(V60:Y60,0)</f>
        <v>0</v>
      </c>
      <c r="AD60" s="59">
        <f>COUNTIF(V60:Y60,1)</f>
        <v>0</v>
      </c>
      <c r="AE60" s="59">
        <f>SUM(H24+G40+H58)</f>
        <v>0</v>
      </c>
      <c r="AF60" s="59">
        <f>H40+G58+G24</f>
        <v>0</v>
      </c>
      <c r="AG60" s="34">
        <f>AE60-AF60</f>
        <v>0</v>
      </c>
      <c r="AH60" s="15"/>
      <c r="AI60" s="60">
        <f>AI59-0.001</f>
        <v>9.7000000000000003E-2</v>
      </c>
      <c r="AJ60" s="61">
        <f>(Z60*10000)+(AG60*100)+(AE60*10)+AI60</f>
        <v>9.7000000000000003E-2</v>
      </c>
      <c r="AK60" s="62">
        <f>RANK(AJ60,AJ$56:AJ$60)</f>
        <v>4</v>
      </c>
      <c r="AL60" s="15"/>
      <c r="AM60" s="36">
        <v>4</v>
      </c>
      <c r="AN60" s="7"/>
      <c r="AO60" s="179" t="str">
        <f ca="1">OFFSET(U$56,MATCH(AM60,$AK$57:$AK$60,0),0)</f>
        <v>Switzerland</v>
      </c>
      <c r="AP60" s="101">
        <f ca="1">OFFSET(AA$56,MATCH(AM60,$AK$57:$AK$60,0),0)</f>
        <v>0</v>
      </c>
      <c r="AQ60" s="102">
        <f ca="1">OFFSET(AB$56,MATCH(AM60,$AK$57:$AK$60,0),0)</f>
        <v>0</v>
      </c>
      <c r="AR60" s="102">
        <f ca="1">OFFSET(AC$56,MATCH(AM60,$AK$57:$AK$60,0),0)</f>
        <v>0</v>
      </c>
      <c r="AS60" s="102">
        <f ca="1">OFFSET(AD$56,MATCH(AM60,$AK$57:$AK$60,0),0)</f>
        <v>0</v>
      </c>
      <c r="AT60" s="102">
        <f ca="1">OFFSET(AE$56,MATCH(AM60,$AK$57:$AK$60,0),0)</f>
        <v>0</v>
      </c>
      <c r="AU60" s="102">
        <f ca="1">OFFSET(AF$56,MATCH(AM60,$AK$57:$AK$60,0),0)</f>
        <v>0</v>
      </c>
      <c r="AV60" s="102">
        <f ca="1">OFFSET(AG$56,MATCH(AM60,$AK$57:$AK$60,0),0)</f>
        <v>0</v>
      </c>
      <c r="AW60" s="103">
        <f ca="1">OFFSET(Z$56,MATCH(AM60,$AK$57:$AK$60,0),0)</f>
        <v>0</v>
      </c>
      <c r="BD60" s="4"/>
      <c r="BE60" s="4"/>
      <c r="BF60" s="4"/>
      <c r="BG60" s="7"/>
      <c r="BH60" s="4"/>
      <c r="BI60" s="8"/>
      <c r="BJ60" s="4"/>
      <c r="BK60" s="4"/>
      <c r="BL60" s="4"/>
      <c r="BO60" s="4"/>
      <c r="BP60" s="4"/>
      <c r="BQ60" s="4"/>
      <c r="BR60" s="4"/>
      <c r="BS60" s="4"/>
      <c r="BT60" s="4"/>
      <c r="BU60" s="4"/>
      <c r="BV60" s="4"/>
    </row>
    <row r="61" spans="1:74" ht="20.25" customHeight="1" thickBot="1">
      <c r="A61" s="6"/>
      <c r="B61" s="234" t="s">
        <v>164</v>
      </c>
      <c r="C61" s="235"/>
      <c r="D61" s="235"/>
      <c r="E61" s="235"/>
      <c r="F61" s="235"/>
      <c r="G61" s="235"/>
      <c r="H61" s="235"/>
      <c r="I61" s="235"/>
      <c r="J61" s="235"/>
      <c r="K61" s="235"/>
      <c r="L61" s="235"/>
      <c r="M61" s="235"/>
      <c r="N61" s="235"/>
      <c r="O61" s="235"/>
      <c r="P61" s="235"/>
      <c r="Q61" s="236"/>
      <c r="R61" s="7"/>
      <c r="S61" s="7"/>
      <c r="T61" s="7"/>
      <c r="U61" s="189"/>
      <c r="V61" s="190"/>
      <c r="W61" s="191"/>
      <c r="X61" s="190"/>
      <c r="Y61" s="7"/>
      <c r="Z61" s="127"/>
      <c r="AA61" s="127"/>
      <c r="AB61" s="127"/>
      <c r="AC61" s="127"/>
      <c r="AD61" s="127"/>
      <c r="AE61" s="127"/>
      <c r="AF61" s="127"/>
      <c r="AG61" s="127"/>
      <c r="AH61" s="7"/>
      <c r="AI61" s="192"/>
      <c r="AJ61" s="193"/>
      <c r="AK61" s="10"/>
      <c r="AL61" s="7"/>
      <c r="AM61" s="10"/>
      <c r="AN61" s="7"/>
      <c r="AO61" s="194"/>
      <c r="AP61" s="161"/>
      <c r="AQ61" s="162"/>
      <c r="AR61" s="162"/>
      <c r="AS61" s="162"/>
      <c r="AT61" s="162"/>
      <c r="AU61" s="162"/>
      <c r="AV61" s="162"/>
      <c r="AW61" s="161"/>
      <c r="AY61" s="195"/>
      <c r="AZ61" s="195"/>
      <c r="BA61" s="195"/>
      <c r="BB61" s="195"/>
      <c r="BC61" s="195"/>
      <c r="BD61" s="196"/>
      <c r="BE61" s="196"/>
      <c r="BF61" s="4"/>
      <c r="BG61" s="7"/>
      <c r="BH61" s="4"/>
      <c r="BI61" s="8"/>
      <c r="BJ61" s="4"/>
      <c r="BK61" s="4"/>
      <c r="BL61" s="4"/>
      <c r="BO61" s="4"/>
      <c r="BP61" s="4"/>
      <c r="BQ61" s="4"/>
      <c r="BR61" s="4"/>
      <c r="BS61" s="4"/>
      <c r="BT61" s="4"/>
      <c r="BU61" s="4"/>
      <c r="BV61" s="4"/>
    </row>
    <row r="62" spans="1:74" ht="6" customHeight="1">
      <c r="A62" s="6"/>
      <c r="B62" s="197"/>
      <c r="C62" s="197"/>
      <c r="D62" s="197"/>
      <c r="E62" s="197"/>
      <c r="F62" s="197"/>
      <c r="G62" s="197"/>
      <c r="H62" s="197"/>
      <c r="I62" s="197"/>
      <c r="J62" s="197"/>
      <c r="K62" s="197"/>
      <c r="L62" s="197"/>
      <c r="M62" s="197"/>
      <c r="N62" s="197"/>
      <c r="O62" s="197"/>
      <c r="P62" s="197"/>
      <c r="Q62" s="197"/>
      <c r="R62" s="197"/>
      <c r="S62" s="197"/>
      <c r="T62" s="197"/>
      <c r="U62" s="197"/>
      <c r="V62" s="197"/>
      <c r="W62" s="197"/>
      <c r="X62" s="197"/>
      <c r="Y62" s="197"/>
      <c r="Z62" s="197"/>
      <c r="AA62" s="197"/>
      <c r="AB62" s="197"/>
      <c r="AC62" s="197"/>
      <c r="AD62" s="197"/>
      <c r="AE62" s="197"/>
      <c r="AF62" s="197"/>
      <c r="AG62" s="197"/>
      <c r="AH62" s="197"/>
      <c r="AI62" s="197"/>
      <c r="AJ62" s="197"/>
      <c r="AK62" s="197"/>
      <c r="AL62" s="197"/>
      <c r="AM62" s="197"/>
      <c r="AN62" s="197"/>
      <c r="AO62" s="265"/>
      <c r="AP62" s="265"/>
      <c r="AQ62" s="265"/>
      <c r="AR62" s="265"/>
      <c r="AS62" s="265"/>
      <c r="AT62" s="265"/>
      <c r="AU62" s="265"/>
      <c r="AV62" s="265"/>
      <c r="AW62" s="265"/>
      <c r="AX62" s="265"/>
      <c r="AY62" s="265"/>
      <c r="AZ62" s="265"/>
      <c r="BA62" s="265"/>
      <c r="BB62" s="264"/>
      <c r="BC62" s="264"/>
      <c r="BD62" s="264"/>
      <c r="BE62" s="264"/>
      <c r="BF62" s="231"/>
      <c r="BG62" s="7"/>
      <c r="BH62" s="231"/>
      <c r="BI62" s="8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</row>
    <row r="63" spans="1:74" ht="3.75" customHeight="1" thickBot="1">
      <c r="A63" s="198"/>
      <c r="B63" s="199"/>
      <c r="C63" s="199"/>
      <c r="D63" s="199"/>
      <c r="E63" s="199"/>
      <c r="F63" s="199"/>
      <c r="G63" s="199"/>
      <c r="H63" s="199"/>
      <c r="I63" s="199"/>
      <c r="J63" s="199"/>
      <c r="K63" s="199"/>
      <c r="L63" s="199"/>
      <c r="M63" s="199"/>
      <c r="N63" s="199"/>
      <c r="O63" s="199"/>
      <c r="P63" s="199"/>
      <c r="Q63" s="199"/>
      <c r="R63" s="199"/>
      <c r="S63" s="199"/>
      <c r="T63" s="199"/>
      <c r="U63" s="199"/>
      <c r="V63" s="199"/>
      <c r="W63" s="199"/>
      <c r="X63" s="199"/>
      <c r="Y63" s="199"/>
      <c r="Z63" s="199"/>
      <c r="AA63" s="199"/>
      <c r="AB63" s="199"/>
      <c r="AC63" s="199"/>
      <c r="AD63" s="199"/>
      <c r="AE63" s="199"/>
      <c r="AF63" s="199"/>
      <c r="AG63" s="199"/>
      <c r="AH63" s="199"/>
      <c r="AI63" s="199"/>
      <c r="AJ63" s="199"/>
      <c r="AK63" s="199"/>
      <c r="AL63" s="199"/>
      <c r="AM63" s="199"/>
      <c r="AN63" s="199"/>
      <c r="AO63" s="199"/>
      <c r="AP63" s="199"/>
      <c r="AQ63" s="199"/>
      <c r="AR63" s="199"/>
      <c r="AS63" s="199"/>
      <c r="AT63" s="199"/>
      <c r="AU63" s="199"/>
      <c r="AV63" s="199"/>
      <c r="AW63" s="199"/>
      <c r="AX63" s="199"/>
      <c r="AY63" s="199"/>
      <c r="AZ63" s="199"/>
      <c r="BA63" s="199"/>
      <c r="BB63" s="199"/>
      <c r="BC63" s="200"/>
      <c r="BD63" s="200"/>
      <c r="BE63" s="200"/>
      <c r="BF63" s="200"/>
      <c r="BG63" s="200"/>
      <c r="BH63" s="200"/>
      <c r="BI63" s="201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</row>
    <row r="64" spans="1:74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BC64" s="4"/>
      <c r="BD64" s="4"/>
      <c r="BE64" s="4"/>
      <c r="BF64" s="4"/>
      <c r="BG64" s="7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</row>
    <row r="65" spans="1:74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BC65" s="4"/>
      <c r="BD65" s="4"/>
      <c r="BE65" s="4"/>
      <c r="BF65" s="4"/>
      <c r="BG65" s="7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</row>
    <row r="66" spans="1:74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BA66" s="4"/>
      <c r="BB66" s="4"/>
      <c r="BC66" s="4"/>
      <c r="BD66" s="4"/>
      <c r="BE66" s="4"/>
      <c r="BF66" s="4"/>
      <c r="BG66" s="7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</row>
    <row r="67" spans="1:74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BA67" s="4"/>
      <c r="BB67" s="4"/>
      <c r="BC67" s="4"/>
      <c r="BD67" s="4"/>
      <c r="BE67" s="4"/>
      <c r="BF67" s="4"/>
      <c r="BG67" s="7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</row>
    <row r="68" spans="1:74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BA68" s="4"/>
      <c r="BB68" s="4"/>
      <c r="BC68" s="4"/>
      <c r="BD68" s="4"/>
      <c r="BE68" s="4"/>
      <c r="BF68" s="4"/>
      <c r="BG68" s="7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</row>
    <row r="69" spans="1:74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BA69" s="4"/>
      <c r="BB69" s="4"/>
      <c r="BC69" s="4"/>
      <c r="BD69" s="4"/>
      <c r="BE69" s="4"/>
      <c r="BF69" s="4"/>
      <c r="BG69" s="7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</row>
    <row r="70" spans="1:74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BA70" s="4"/>
      <c r="BB70" s="4"/>
      <c r="BC70" s="4"/>
      <c r="BD70" s="4"/>
      <c r="BE70" s="4"/>
      <c r="BF70" s="4"/>
      <c r="BG70" s="7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</row>
    <row r="71" spans="1:74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BA71" s="4"/>
      <c r="BB71" s="4"/>
      <c r="BC71" s="4"/>
      <c r="BD71" s="4"/>
      <c r="BE71" s="4"/>
      <c r="BF71" s="4"/>
      <c r="BG71" s="7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</row>
    <row r="72" spans="1:74">
      <c r="AX72" s="14"/>
      <c r="AY72" s="14"/>
      <c r="AZ72" s="14"/>
      <c r="BA72" s="5"/>
      <c r="BB72" s="5"/>
      <c r="BC72" s="5"/>
      <c r="BD72" s="138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</row>
    <row r="73" spans="1:74">
      <c r="AX73" s="14"/>
      <c r="AY73" s="14"/>
      <c r="AZ73" s="14"/>
      <c r="BA73" s="5"/>
      <c r="BB73" s="5"/>
      <c r="BC73" s="5"/>
      <c r="BD73" s="138"/>
    </row>
    <row r="74" spans="1:74">
      <c r="AX74" s="14"/>
      <c r="AY74" s="14"/>
      <c r="AZ74" s="14"/>
      <c r="BA74" s="5"/>
      <c r="BB74" s="5"/>
      <c r="BC74" s="5"/>
      <c r="BD74" s="138"/>
    </row>
    <row r="75" spans="1:74">
      <c r="AX75" s="14"/>
      <c r="AY75" s="14"/>
      <c r="AZ75" s="14"/>
      <c r="BA75" s="5"/>
      <c r="BB75" s="5"/>
      <c r="BC75" s="5"/>
      <c r="BD75" s="138"/>
    </row>
    <row r="76" spans="1:74">
      <c r="AX76" s="14"/>
      <c r="AY76" s="14"/>
      <c r="AZ76" s="14"/>
      <c r="BA76" s="5"/>
      <c r="BB76" s="5"/>
      <c r="BC76" s="5"/>
      <c r="BD76" s="138"/>
    </row>
    <row r="77" spans="1:74">
      <c r="AX77" s="14"/>
      <c r="AY77" s="14"/>
      <c r="AZ77" s="14"/>
      <c r="BA77" s="5"/>
      <c r="BB77" s="5"/>
      <c r="BC77" s="5"/>
      <c r="BD77" s="138"/>
    </row>
    <row r="78" spans="1:74">
      <c r="AX78" s="14"/>
      <c r="AY78" s="14"/>
      <c r="AZ78" s="14"/>
      <c r="BA78" s="5"/>
      <c r="BB78" s="5"/>
      <c r="BC78" s="5"/>
      <c r="BD78" s="138"/>
    </row>
    <row r="79" spans="1:74">
      <c r="AX79" s="14"/>
      <c r="AY79" s="14"/>
      <c r="AZ79" s="14"/>
      <c r="BA79" s="5"/>
      <c r="BB79" s="5"/>
      <c r="BC79" s="5"/>
      <c r="BD79" s="138"/>
    </row>
    <row r="80" spans="1:74">
      <c r="AX80" s="14"/>
      <c r="AY80" s="14"/>
      <c r="AZ80" s="14"/>
      <c r="BA80" s="14"/>
      <c r="BB80" s="14"/>
      <c r="BC80" s="14"/>
      <c r="BD80" s="138"/>
    </row>
    <row r="81" spans="6:56">
      <c r="AX81" s="14"/>
      <c r="AY81" s="14"/>
      <c r="AZ81" s="14"/>
      <c r="BA81" s="14"/>
      <c r="BB81" s="14"/>
      <c r="BC81" s="14"/>
      <c r="BD81" s="138"/>
    </row>
    <row r="82" spans="6:56">
      <c r="AX82" s="14"/>
      <c r="AY82" s="14"/>
      <c r="AZ82" s="14"/>
      <c r="BA82" s="14"/>
      <c r="BB82" s="14"/>
      <c r="BC82" s="14"/>
      <c r="BD82" s="138"/>
    </row>
    <row r="83" spans="6:56">
      <c r="AZ83" s="14"/>
      <c r="BA83" s="14"/>
      <c r="BB83" s="14"/>
      <c r="BC83" s="14"/>
      <c r="BD83" s="138"/>
    </row>
    <row r="84" spans="6:56">
      <c r="AZ84" s="14"/>
      <c r="BA84" s="14"/>
      <c r="BB84" s="14"/>
      <c r="BC84" s="14"/>
      <c r="BD84" s="138"/>
    </row>
    <row r="85" spans="6:56">
      <c r="AZ85" s="14"/>
      <c r="BA85" s="14"/>
      <c r="BB85" s="14"/>
      <c r="BC85" s="14"/>
      <c r="BD85" s="138"/>
    </row>
    <row r="86" spans="6:56">
      <c r="AZ86" s="14"/>
      <c r="BA86" s="14"/>
      <c r="BB86" s="14"/>
      <c r="BC86" s="14"/>
      <c r="BD86" s="138"/>
    </row>
    <row r="87" spans="6:56">
      <c r="AZ87" s="14"/>
      <c r="BA87" s="14"/>
      <c r="BB87" s="14"/>
      <c r="BC87" s="14"/>
      <c r="BD87" s="138"/>
    </row>
    <row r="88" spans="6:56" s="15" customFormat="1">
      <c r="F88" s="14"/>
      <c r="G88" s="14"/>
      <c r="I88" s="14"/>
      <c r="J88" s="14"/>
      <c r="K88" s="14"/>
      <c r="L88" s="14"/>
      <c r="M88" s="14"/>
      <c r="N88" s="14"/>
      <c r="AX88" s="7"/>
      <c r="AY88" s="7"/>
      <c r="AZ88" s="14"/>
      <c r="BA88" s="14"/>
      <c r="BB88" s="14"/>
      <c r="BC88" s="14"/>
      <c r="BD88" s="14"/>
    </row>
    <row r="89" spans="6:56" s="15" customFormat="1">
      <c r="F89" s="14"/>
      <c r="G89" s="14"/>
      <c r="I89" s="14"/>
      <c r="J89" s="14"/>
      <c r="K89" s="14"/>
      <c r="L89" s="14"/>
      <c r="M89" s="14"/>
      <c r="N89" s="14"/>
      <c r="AX89" s="7"/>
      <c r="AY89" s="7"/>
      <c r="AZ89" s="7"/>
      <c r="BA89" s="7"/>
      <c r="BB89" s="7"/>
      <c r="BC89" s="7"/>
    </row>
    <row r="90" spans="6:56" s="15" customFormat="1">
      <c r="F90" s="14"/>
      <c r="G90" s="14"/>
      <c r="I90" s="14"/>
      <c r="J90" s="14"/>
      <c r="K90" s="14"/>
      <c r="L90" s="14"/>
      <c r="M90" s="14"/>
      <c r="N90" s="14"/>
      <c r="AX90" s="7"/>
      <c r="AY90" s="7"/>
      <c r="AZ90" s="7"/>
      <c r="BA90" s="7"/>
      <c r="BB90" s="7"/>
      <c r="BC90" s="7"/>
    </row>
  </sheetData>
  <protectedRanges>
    <protectedRange sqref="BD45:BE46" name="Range7"/>
    <protectedRange sqref="G10:H58" name="Range1"/>
    <protectedRange sqref="BD23:BE26" name="Range2"/>
    <protectedRange sqref="BD33:BE34" name="Range3"/>
    <protectedRange sqref="BD9:BE16" name="Range4"/>
    <protectedRange sqref="BD41:BE41" name="Range5"/>
  </protectedRanges>
  <mergeCells count="23">
    <mergeCell ref="BB62:BE62"/>
    <mergeCell ref="AO62:BA62"/>
    <mergeCell ref="BC7:BF7"/>
    <mergeCell ref="BC21:BF21"/>
    <mergeCell ref="AZ43:BC43"/>
    <mergeCell ref="AZ38:BG38"/>
    <mergeCell ref="AZ20:BG20"/>
    <mergeCell ref="AZ30:BG30"/>
    <mergeCell ref="BC31:BF31"/>
    <mergeCell ref="H2:BE3"/>
    <mergeCell ref="F7:I7"/>
    <mergeCell ref="AN4:AV4"/>
    <mergeCell ref="B6:Q6"/>
    <mergeCell ref="P7:Q7"/>
    <mergeCell ref="B61:Q61"/>
    <mergeCell ref="BC39:BF39"/>
    <mergeCell ref="BD47:BG47"/>
    <mergeCell ref="AZ47:BC47"/>
    <mergeCell ref="AY49:BF49"/>
    <mergeCell ref="BG49:BH49"/>
    <mergeCell ref="BD43:BG43"/>
    <mergeCell ref="B60:F60"/>
    <mergeCell ref="G60:H60"/>
  </mergeCells>
  <phoneticPr fontId="0" type="noConversion"/>
  <printOptions horizontalCentered="1" verticalCentered="1"/>
  <pageMargins left="0" right="0" top="0" bottom="0" header="0" footer="0"/>
  <pageSetup paperSize="8" scale="71" orientation="landscape" cellComments="asDisplayed" r:id="rId1"/>
  <headerFooter alignWithMargins="0"/>
  <rowBreaks count="1" manualBreakCount="1">
    <brk id="63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Blad2"/>
  <dimension ref="A1:C208"/>
  <sheetViews>
    <sheetView workbookViewId="0">
      <pane ySplit="1" topLeftCell="A2" activePane="bottomLeft" state="frozen"/>
      <selection pane="bottomLeft" activeCell="A209" sqref="A209"/>
    </sheetView>
  </sheetViews>
  <sheetFormatPr defaultRowHeight="13.2"/>
  <cols>
    <col min="1" max="1" width="7" bestFit="1" customWidth="1"/>
    <col min="2" max="2" width="26.77734375" bestFit="1" customWidth="1"/>
    <col min="3" max="3" width="5.77734375" bestFit="1" customWidth="1"/>
  </cols>
  <sheetData>
    <row r="1" spans="1:3">
      <c r="A1" s="233" t="s">
        <v>342</v>
      </c>
      <c r="B1" s="233" t="s">
        <v>343</v>
      </c>
      <c r="C1" s="233" t="s">
        <v>344</v>
      </c>
    </row>
    <row r="2" spans="1:3">
      <c r="A2">
        <v>1</v>
      </c>
      <c r="B2" t="s">
        <v>108</v>
      </c>
      <c r="C2">
        <v>1611</v>
      </c>
    </row>
    <row r="3" spans="1:3">
      <c r="A3">
        <v>2</v>
      </c>
      <c r="B3" t="s">
        <v>117</v>
      </c>
      <c r="C3">
        <v>1565</v>
      </c>
    </row>
    <row r="4" spans="1:3">
      <c r="A4">
        <v>3</v>
      </c>
      <c r="B4" t="s">
        <v>105</v>
      </c>
      <c r="C4">
        <v>1249</v>
      </c>
    </row>
    <row r="5" spans="1:3">
      <c r="A5">
        <v>4</v>
      </c>
      <c r="B5" t="s">
        <v>166</v>
      </c>
      <c r="C5">
        <v>1231</v>
      </c>
    </row>
    <row r="6" spans="1:3">
      <c r="A6">
        <v>5</v>
      </c>
      <c r="B6" t="s">
        <v>93</v>
      </c>
      <c r="C6">
        <v>1184</v>
      </c>
    </row>
    <row r="7" spans="1:3">
      <c r="A7">
        <v>6</v>
      </c>
      <c r="B7" t="s">
        <v>74</v>
      </c>
      <c r="C7">
        <v>1082</v>
      </c>
    </row>
    <row r="8" spans="1:3">
      <c r="A8">
        <v>7</v>
      </c>
      <c r="B8" t="s">
        <v>47</v>
      </c>
      <c r="C8">
        <v>1076</v>
      </c>
    </row>
    <row r="9" spans="1:3">
      <c r="A9">
        <v>8</v>
      </c>
      <c r="B9" t="s">
        <v>60</v>
      </c>
      <c r="C9">
        <v>1068</v>
      </c>
    </row>
    <row r="10" spans="1:3">
      <c r="A10">
        <v>9</v>
      </c>
      <c r="B10" t="s">
        <v>41</v>
      </c>
      <c r="C10">
        <v>1044</v>
      </c>
    </row>
    <row r="11" spans="1:3">
      <c r="A11">
        <v>10</v>
      </c>
      <c r="B11" t="s">
        <v>167</v>
      </c>
      <c r="C11">
        <v>1041</v>
      </c>
    </row>
    <row r="12" spans="1:3">
      <c r="A12">
        <v>11</v>
      </c>
      <c r="B12" t="s">
        <v>168</v>
      </c>
      <c r="C12">
        <v>1015</v>
      </c>
    </row>
    <row r="13" spans="1:3">
      <c r="A13">
        <v>12</v>
      </c>
      <c r="B13" t="s">
        <v>169</v>
      </c>
      <c r="C13">
        <v>967</v>
      </c>
    </row>
    <row r="14" spans="1:3">
      <c r="A14">
        <v>13</v>
      </c>
      <c r="B14" t="s">
        <v>56</v>
      </c>
      <c r="C14">
        <v>964</v>
      </c>
    </row>
    <row r="15" spans="1:3">
      <c r="A15">
        <v>14</v>
      </c>
      <c r="B15" t="s">
        <v>61</v>
      </c>
      <c r="C15">
        <v>957</v>
      </c>
    </row>
    <row r="16" spans="1:3">
      <c r="A16">
        <v>15</v>
      </c>
      <c r="B16" t="s">
        <v>81</v>
      </c>
      <c r="C16">
        <v>947</v>
      </c>
    </row>
    <row r="17" spans="1:3">
      <c r="A17">
        <v>16</v>
      </c>
      <c r="B17" t="s">
        <v>40</v>
      </c>
      <c r="C17">
        <v>899</v>
      </c>
    </row>
    <row r="18" spans="1:3">
      <c r="A18">
        <v>17</v>
      </c>
      <c r="B18" t="s">
        <v>34</v>
      </c>
      <c r="C18">
        <v>895</v>
      </c>
    </row>
    <row r="19" spans="1:3">
      <c r="A19">
        <v>18</v>
      </c>
      <c r="B19" t="s">
        <v>113</v>
      </c>
      <c r="C19">
        <v>888</v>
      </c>
    </row>
    <row r="20" spans="1:3">
      <c r="A20">
        <v>19</v>
      </c>
      <c r="B20" t="s">
        <v>91</v>
      </c>
      <c r="C20">
        <v>887</v>
      </c>
    </row>
    <row r="21" spans="1:3">
      <c r="A21">
        <v>20</v>
      </c>
      <c r="B21" t="s">
        <v>75</v>
      </c>
      <c r="C21">
        <v>886</v>
      </c>
    </row>
    <row r="22" spans="1:3">
      <c r="A22">
        <v>21</v>
      </c>
      <c r="B22" t="s">
        <v>48</v>
      </c>
      <c r="C22">
        <v>883</v>
      </c>
    </row>
    <row r="23" spans="1:3">
      <c r="A23">
        <v>22</v>
      </c>
      <c r="B23" t="s">
        <v>170</v>
      </c>
      <c r="C23">
        <v>882</v>
      </c>
    </row>
    <row r="24" spans="1:3">
      <c r="A24">
        <v>23</v>
      </c>
      <c r="B24" t="s">
        <v>171</v>
      </c>
      <c r="C24">
        <v>875</v>
      </c>
    </row>
    <row r="25" spans="1:3">
      <c r="A25">
        <v>24</v>
      </c>
      <c r="B25" t="s">
        <v>118</v>
      </c>
      <c r="C25">
        <v>866</v>
      </c>
    </row>
    <row r="26" spans="1:3">
      <c r="A26">
        <v>25</v>
      </c>
      <c r="B26" t="s">
        <v>70</v>
      </c>
      <c r="C26">
        <v>860</v>
      </c>
    </row>
    <row r="27" spans="1:3">
      <c r="A27">
        <v>26</v>
      </c>
      <c r="B27" t="s">
        <v>172</v>
      </c>
      <c r="C27">
        <v>857</v>
      </c>
    </row>
    <row r="28" spans="1:3">
      <c r="A28">
        <v>27</v>
      </c>
      <c r="B28" t="s">
        <v>104</v>
      </c>
      <c r="C28">
        <v>856</v>
      </c>
    </row>
    <row r="29" spans="1:3">
      <c r="A29">
        <v>28</v>
      </c>
      <c r="B29" t="s">
        <v>173</v>
      </c>
      <c r="C29">
        <v>853</v>
      </c>
    </row>
    <row r="30" spans="1:3">
      <c r="A30">
        <v>29</v>
      </c>
      <c r="B30" t="s">
        <v>174</v>
      </c>
      <c r="C30">
        <v>830</v>
      </c>
    </row>
    <row r="31" spans="1:3">
      <c r="A31">
        <v>30</v>
      </c>
      <c r="B31" t="s">
        <v>69</v>
      </c>
      <c r="C31">
        <v>821</v>
      </c>
    </row>
    <row r="32" spans="1:3">
      <c r="A32">
        <v>31</v>
      </c>
      <c r="B32" t="s">
        <v>94</v>
      </c>
      <c r="C32">
        <v>820</v>
      </c>
    </row>
    <row r="33" spans="1:3">
      <c r="A33">
        <v>32</v>
      </c>
      <c r="B33" t="s">
        <v>82</v>
      </c>
      <c r="C33">
        <v>800</v>
      </c>
    </row>
    <row r="34" spans="1:3">
      <c r="A34">
        <v>33</v>
      </c>
      <c r="B34" t="s">
        <v>175</v>
      </c>
      <c r="C34">
        <v>793</v>
      </c>
    </row>
    <row r="35" spans="1:3">
      <c r="A35">
        <v>34</v>
      </c>
      <c r="B35" t="s">
        <v>99</v>
      </c>
      <c r="C35">
        <v>777</v>
      </c>
    </row>
    <row r="36" spans="1:3">
      <c r="A36">
        <v>35</v>
      </c>
      <c r="B36" t="s">
        <v>176</v>
      </c>
      <c r="C36">
        <v>776</v>
      </c>
    </row>
    <row r="37" spans="1:3">
      <c r="A37">
        <v>36</v>
      </c>
      <c r="B37" t="s">
        <v>87</v>
      </c>
      <c r="C37">
        <v>767</v>
      </c>
    </row>
    <row r="38" spans="1:3">
      <c r="A38">
        <v>37</v>
      </c>
      <c r="B38" t="s">
        <v>177</v>
      </c>
      <c r="C38">
        <v>761</v>
      </c>
    </row>
    <row r="39" spans="1:3">
      <c r="A39">
        <v>38</v>
      </c>
      <c r="B39" t="s">
        <v>112</v>
      </c>
      <c r="C39">
        <v>734</v>
      </c>
    </row>
    <row r="40" spans="1:3">
      <c r="A40">
        <v>39</v>
      </c>
      <c r="B40" t="s">
        <v>178</v>
      </c>
      <c r="C40">
        <v>711</v>
      </c>
    </row>
    <row r="41" spans="1:3">
      <c r="A41">
        <v>40</v>
      </c>
      <c r="B41" t="s">
        <v>179</v>
      </c>
      <c r="C41">
        <v>710</v>
      </c>
    </row>
    <row r="42" spans="1:3">
      <c r="A42">
        <v>41</v>
      </c>
      <c r="B42" t="s">
        <v>180</v>
      </c>
      <c r="C42">
        <v>709</v>
      </c>
    </row>
    <row r="43" spans="1:3">
      <c r="A43">
        <v>42</v>
      </c>
      <c r="B43" t="s">
        <v>181</v>
      </c>
      <c r="C43">
        <v>700</v>
      </c>
    </row>
    <row r="44" spans="1:3">
      <c r="A44">
        <v>43</v>
      </c>
      <c r="B44" t="s">
        <v>182</v>
      </c>
      <c r="C44">
        <v>699</v>
      </c>
    </row>
    <row r="45" spans="1:3">
      <c r="A45">
        <v>44</v>
      </c>
      <c r="B45" t="s">
        <v>183</v>
      </c>
      <c r="C45">
        <v>694</v>
      </c>
    </row>
    <row r="46" spans="1:3">
      <c r="A46">
        <v>45</v>
      </c>
      <c r="B46" t="s">
        <v>90</v>
      </c>
      <c r="C46">
        <v>682</v>
      </c>
    </row>
    <row r="47" spans="1:3">
      <c r="A47">
        <v>46</v>
      </c>
      <c r="B47" t="s">
        <v>184</v>
      </c>
      <c r="C47">
        <v>652</v>
      </c>
    </row>
    <row r="48" spans="1:3">
      <c r="A48">
        <v>47</v>
      </c>
      <c r="B48" t="s">
        <v>109</v>
      </c>
      <c r="C48">
        <v>632</v>
      </c>
    </row>
    <row r="49" spans="1:3">
      <c r="A49">
        <v>48</v>
      </c>
      <c r="B49" t="s">
        <v>185</v>
      </c>
      <c r="C49">
        <v>611</v>
      </c>
    </row>
    <row r="50" spans="1:3">
      <c r="A50">
        <v>49</v>
      </c>
      <c r="B50" t="s">
        <v>186</v>
      </c>
      <c r="C50">
        <v>608</v>
      </c>
    </row>
    <row r="51" spans="1:3">
      <c r="A51">
        <v>49</v>
      </c>
      <c r="B51" t="s">
        <v>187</v>
      </c>
      <c r="C51">
        <v>608</v>
      </c>
    </row>
    <row r="52" spans="1:3">
      <c r="A52">
        <v>51</v>
      </c>
      <c r="B52" t="s">
        <v>188</v>
      </c>
      <c r="C52">
        <v>604</v>
      </c>
    </row>
    <row r="53" spans="1:3">
      <c r="A53">
        <v>52</v>
      </c>
      <c r="B53" t="s">
        <v>189</v>
      </c>
      <c r="C53">
        <v>584</v>
      </c>
    </row>
    <row r="54" spans="1:3">
      <c r="A54">
        <v>53</v>
      </c>
      <c r="B54" t="s">
        <v>190</v>
      </c>
      <c r="C54">
        <v>578</v>
      </c>
    </row>
    <row r="55" spans="1:3">
      <c r="A55">
        <v>54</v>
      </c>
      <c r="B55" t="s">
        <v>191</v>
      </c>
      <c r="C55">
        <v>575</v>
      </c>
    </row>
    <row r="56" spans="1:3">
      <c r="A56">
        <v>55</v>
      </c>
      <c r="B56" t="s">
        <v>192</v>
      </c>
      <c r="C56">
        <v>574</v>
      </c>
    </row>
    <row r="57" spans="1:3">
      <c r="A57">
        <v>56</v>
      </c>
      <c r="B57" t="s">
        <v>193</v>
      </c>
      <c r="C57">
        <v>566</v>
      </c>
    </row>
    <row r="58" spans="1:3">
      <c r="A58">
        <v>57</v>
      </c>
      <c r="B58" t="s">
        <v>194</v>
      </c>
      <c r="C58">
        <v>565</v>
      </c>
    </row>
    <row r="59" spans="1:3">
      <c r="A59">
        <v>58</v>
      </c>
      <c r="B59" t="s">
        <v>195</v>
      </c>
      <c r="C59">
        <v>561</v>
      </c>
    </row>
    <row r="60" spans="1:3">
      <c r="A60">
        <v>59</v>
      </c>
      <c r="B60" t="s">
        <v>196</v>
      </c>
      <c r="C60">
        <v>541</v>
      </c>
    </row>
    <row r="61" spans="1:3">
      <c r="A61">
        <v>60</v>
      </c>
      <c r="B61" t="s">
        <v>197</v>
      </c>
      <c r="C61">
        <v>531</v>
      </c>
    </row>
    <row r="62" spans="1:3">
      <c r="A62">
        <v>61</v>
      </c>
      <c r="B62" t="s">
        <v>198</v>
      </c>
      <c r="C62">
        <v>521</v>
      </c>
    </row>
    <row r="63" spans="1:3">
      <c r="A63">
        <v>61</v>
      </c>
      <c r="B63" t="s">
        <v>199</v>
      </c>
      <c r="C63">
        <v>521</v>
      </c>
    </row>
    <row r="64" spans="1:3">
      <c r="A64">
        <v>63</v>
      </c>
      <c r="B64" t="s">
        <v>200</v>
      </c>
      <c r="C64">
        <v>516</v>
      </c>
    </row>
    <row r="65" spans="1:3">
      <c r="A65">
        <v>64</v>
      </c>
      <c r="B65" t="s">
        <v>201</v>
      </c>
      <c r="C65">
        <v>500</v>
      </c>
    </row>
    <row r="66" spans="1:3">
      <c r="A66">
        <v>65</v>
      </c>
      <c r="B66" t="s">
        <v>202</v>
      </c>
      <c r="C66">
        <v>499</v>
      </c>
    </row>
    <row r="67" spans="1:3">
      <c r="A67">
        <v>66</v>
      </c>
      <c r="B67" t="s">
        <v>203</v>
      </c>
      <c r="C67">
        <v>498</v>
      </c>
    </row>
    <row r="68" spans="1:3">
      <c r="A68">
        <v>67</v>
      </c>
      <c r="B68" t="s">
        <v>204</v>
      </c>
      <c r="C68">
        <v>486</v>
      </c>
    </row>
    <row r="69" spans="1:3">
      <c r="A69">
        <v>68</v>
      </c>
      <c r="B69" t="s">
        <v>205</v>
      </c>
      <c r="C69">
        <v>479</v>
      </c>
    </row>
    <row r="70" spans="1:3">
      <c r="A70">
        <v>69</v>
      </c>
      <c r="B70" t="s">
        <v>206</v>
      </c>
      <c r="C70">
        <v>475</v>
      </c>
    </row>
    <row r="71" spans="1:3">
      <c r="A71">
        <v>70</v>
      </c>
      <c r="B71" t="s">
        <v>207</v>
      </c>
      <c r="C71">
        <v>463</v>
      </c>
    </row>
    <row r="72" spans="1:3">
      <c r="A72">
        <v>71</v>
      </c>
      <c r="B72" t="s">
        <v>208</v>
      </c>
      <c r="C72">
        <v>456</v>
      </c>
    </row>
    <row r="73" spans="1:3">
      <c r="A73">
        <v>72</v>
      </c>
      <c r="B73" t="s">
        <v>209</v>
      </c>
      <c r="C73">
        <v>452</v>
      </c>
    </row>
    <row r="74" spans="1:3">
      <c r="A74">
        <v>73</v>
      </c>
      <c r="B74" t="s">
        <v>210</v>
      </c>
      <c r="C74">
        <v>440</v>
      </c>
    </row>
    <row r="75" spans="1:3">
      <c r="A75">
        <v>74</v>
      </c>
      <c r="B75" t="s">
        <v>211</v>
      </c>
      <c r="C75">
        <v>434</v>
      </c>
    </row>
    <row r="76" spans="1:3">
      <c r="A76">
        <v>75</v>
      </c>
      <c r="B76" t="s">
        <v>212</v>
      </c>
      <c r="C76">
        <v>422</v>
      </c>
    </row>
    <row r="77" spans="1:3">
      <c r="A77">
        <v>76</v>
      </c>
      <c r="B77" t="s">
        <v>213</v>
      </c>
      <c r="C77">
        <v>418</v>
      </c>
    </row>
    <row r="78" spans="1:3">
      <c r="A78">
        <v>77</v>
      </c>
      <c r="B78" t="s">
        <v>214</v>
      </c>
      <c r="C78">
        <v>415</v>
      </c>
    </row>
    <row r="79" spans="1:3">
      <c r="A79">
        <v>78</v>
      </c>
      <c r="B79" t="s">
        <v>98</v>
      </c>
      <c r="C79">
        <v>410</v>
      </c>
    </row>
    <row r="80" spans="1:3">
      <c r="A80">
        <v>79</v>
      </c>
      <c r="B80" t="s">
        <v>215</v>
      </c>
      <c r="C80">
        <v>406</v>
      </c>
    </row>
    <row r="81" spans="1:3">
      <c r="A81">
        <v>80</v>
      </c>
      <c r="B81" t="s">
        <v>216</v>
      </c>
      <c r="C81">
        <v>405</v>
      </c>
    </row>
    <row r="82" spans="1:3">
      <c r="A82">
        <v>81</v>
      </c>
      <c r="B82" t="s">
        <v>217</v>
      </c>
      <c r="C82">
        <v>399</v>
      </c>
    </row>
    <row r="83" spans="1:3">
      <c r="A83">
        <v>82</v>
      </c>
      <c r="B83" t="s">
        <v>218</v>
      </c>
      <c r="C83">
        <v>397</v>
      </c>
    </row>
    <row r="84" spans="1:3">
      <c r="A84">
        <v>83</v>
      </c>
      <c r="B84" t="s">
        <v>33</v>
      </c>
      <c r="C84">
        <v>392</v>
      </c>
    </row>
    <row r="85" spans="1:3">
      <c r="A85">
        <v>84</v>
      </c>
      <c r="B85" t="s">
        <v>219</v>
      </c>
      <c r="C85">
        <v>387</v>
      </c>
    </row>
    <row r="86" spans="1:3">
      <c r="A86">
        <v>85</v>
      </c>
      <c r="B86" t="s">
        <v>220</v>
      </c>
      <c r="C86">
        <v>383</v>
      </c>
    </row>
    <row r="87" spans="1:3">
      <c r="A87">
        <v>86</v>
      </c>
      <c r="B87" t="s">
        <v>221</v>
      </c>
      <c r="C87">
        <v>382</v>
      </c>
    </row>
    <row r="88" spans="1:3">
      <c r="A88">
        <v>87</v>
      </c>
      <c r="B88" t="s">
        <v>222</v>
      </c>
      <c r="C88">
        <v>381</v>
      </c>
    </row>
    <row r="89" spans="1:3">
      <c r="A89">
        <v>88</v>
      </c>
      <c r="B89" t="s">
        <v>223</v>
      </c>
      <c r="C89">
        <v>379</v>
      </c>
    </row>
    <row r="90" spans="1:3">
      <c r="A90">
        <v>89</v>
      </c>
      <c r="B90" t="s">
        <v>224</v>
      </c>
      <c r="C90">
        <v>378</v>
      </c>
    </row>
    <row r="91" spans="1:3">
      <c r="A91">
        <v>90</v>
      </c>
      <c r="B91" t="s">
        <v>225</v>
      </c>
      <c r="C91">
        <v>367</v>
      </c>
    </row>
    <row r="92" spans="1:3">
      <c r="A92">
        <v>91</v>
      </c>
      <c r="B92" t="s">
        <v>226</v>
      </c>
      <c r="C92">
        <v>362</v>
      </c>
    </row>
    <row r="93" spans="1:3">
      <c r="A93">
        <v>91</v>
      </c>
      <c r="B93" t="s">
        <v>227</v>
      </c>
      <c r="C93">
        <v>362</v>
      </c>
    </row>
    <row r="94" spans="1:3">
      <c r="A94">
        <v>93</v>
      </c>
      <c r="B94" t="s">
        <v>228</v>
      </c>
      <c r="C94">
        <v>361</v>
      </c>
    </row>
    <row r="95" spans="1:3">
      <c r="A95">
        <v>94</v>
      </c>
      <c r="B95" t="s">
        <v>229</v>
      </c>
      <c r="C95">
        <v>354</v>
      </c>
    </row>
    <row r="96" spans="1:3">
      <c r="A96">
        <v>95</v>
      </c>
      <c r="B96" t="s">
        <v>230</v>
      </c>
      <c r="C96">
        <v>353</v>
      </c>
    </row>
    <row r="97" spans="1:3">
      <c r="A97">
        <v>96</v>
      </c>
      <c r="B97" t="s">
        <v>231</v>
      </c>
      <c r="C97">
        <v>351</v>
      </c>
    </row>
    <row r="98" spans="1:3">
      <c r="A98">
        <v>97</v>
      </c>
      <c r="B98" t="s">
        <v>232</v>
      </c>
      <c r="C98">
        <v>350</v>
      </c>
    </row>
    <row r="99" spans="1:3">
      <c r="A99">
        <v>98</v>
      </c>
      <c r="B99" t="s">
        <v>233</v>
      </c>
      <c r="C99">
        <v>343</v>
      </c>
    </row>
    <row r="100" spans="1:3">
      <c r="A100">
        <v>99</v>
      </c>
      <c r="B100" t="s">
        <v>234</v>
      </c>
      <c r="C100">
        <v>320</v>
      </c>
    </row>
    <row r="101" spans="1:3">
      <c r="A101">
        <v>100</v>
      </c>
      <c r="B101" t="s">
        <v>235</v>
      </c>
      <c r="C101">
        <v>311</v>
      </c>
    </row>
    <row r="102" spans="1:3">
      <c r="A102">
        <v>101</v>
      </c>
      <c r="B102" t="s">
        <v>236</v>
      </c>
      <c r="C102">
        <v>310</v>
      </c>
    </row>
    <row r="103" spans="1:3">
      <c r="A103">
        <v>102</v>
      </c>
      <c r="B103" t="s">
        <v>237</v>
      </c>
      <c r="C103">
        <v>309</v>
      </c>
    </row>
    <row r="104" spans="1:3">
      <c r="A104">
        <v>103</v>
      </c>
      <c r="B104" t="s">
        <v>238</v>
      </c>
      <c r="C104">
        <v>308</v>
      </c>
    </row>
    <row r="105" spans="1:3">
      <c r="A105">
        <v>104</v>
      </c>
      <c r="B105" t="s">
        <v>239</v>
      </c>
      <c r="C105">
        <v>300</v>
      </c>
    </row>
    <row r="106" spans="1:3">
      <c r="A106">
        <v>105</v>
      </c>
      <c r="B106" t="s">
        <v>55</v>
      </c>
      <c r="C106">
        <v>285</v>
      </c>
    </row>
    <row r="107" spans="1:3">
      <c r="A107">
        <v>106</v>
      </c>
      <c r="B107" t="s">
        <v>240</v>
      </c>
      <c r="C107">
        <v>276</v>
      </c>
    </row>
    <row r="108" spans="1:3">
      <c r="A108">
        <v>107</v>
      </c>
      <c r="B108" t="s">
        <v>241</v>
      </c>
      <c r="C108">
        <v>269</v>
      </c>
    </row>
    <row r="109" spans="1:3">
      <c r="A109">
        <v>108</v>
      </c>
      <c r="B109" t="s">
        <v>242</v>
      </c>
      <c r="C109">
        <v>261</v>
      </c>
    </row>
    <row r="110" spans="1:3">
      <c r="A110">
        <v>109</v>
      </c>
      <c r="B110" t="s">
        <v>243</v>
      </c>
      <c r="C110">
        <v>259</v>
      </c>
    </row>
    <row r="111" spans="1:3">
      <c r="A111">
        <v>110</v>
      </c>
      <c r="B111" t="s">
        <v>244</v>
      </c>
      <c r="C111">
        <v>258</v>
      </c>
    </row>
    <row r="112" spans="1:3">
      <c r="A112">
        <v>111</v>
      </c>
      <c r="B112" t="s">
        <v>245</v>
      </c>
      <c r="C112">
        <v>251</v>
      </c>
    </row>
    <row r="113" spans="1:3">
      <c r="A113">
        <v>112</v>
      </c>
      <c r="B113" t="s">
        <v>246</v>
      </c>
      <c r="C113">
        <v>248</v>
      </c>
    </row>
    <row r="114" spans="1:3">
      <c r="A114">
        <v>113</v>
      </c>
      <c r="B114" t="s">
        <v>247</v>
      </c>
      <c r="C114">
        <v>243</v>
      </c>
    </row>
    <row r="115" spans="1:3">
      <c r="A115">
        <v>114</v>
      </c>
      <c r="B115" t="s">
        <v>248</v>
      </c>
      <c r="C115">
        <v>241</v>
      </c>
    </row>
    <row r="116" spans="1:3">
      <c r="A116">
        <v>114</v>
      </c>
      <c r="B116" t="s">
        <v>249</v>
      </c>
      <c r="C116">
        <v>241</v>
      </c>
    </row>
    <row r="117" spans="1:3">
      <c r="A117">
        <v>116</v>
      </c>
      <c r="B117" t="s">
        <v>250</v>
      </c>
      <c r="C117">
        <v>236</v>
      </c>
    </row>
    <row r="118" spans="1:3">
      <c r="A118">
        <v>117</v>
      </c>
      <c r="B118" t="s">
        <v>251</v>
      </c>
      <c r="C118">
        <v>231</v>
      </c>
    </row>
    <row r="119" spans="1:3">
      <c r="A119">
        <v>118</v>
      </c>
      <c r="B119" t="s">
        <v>252</v>
      </c>
      <c r="C119">
        <v>219</v>
      </c>
    </row>
    <row r="120" spans="1:3">
      <c r="A120">
        <v>119</v>
      </c>
      <c r="B120" t="s">
        <v>253</v>
      </c>
      <c r="C120">
        <v>218</v>
      </c>
    </row>
    <row r="121" spans="1:3">
      <c r="A121">
        <v>120</v>
      </c>
      <c r="B121" t="s">
        <v>254</v>
      </c>
      <c r="C121">
        <v>217</v>
      </c>
    </row>
    <row r="122" spans="1:3">
      <c r="A122">
        <v>121</v>
      </c>
      <c r="B122" t="s">
        <v>255</v>
      </c>
      <c r="C122">
        <v>215</v>
      </c>
    </row>
    <row r="123" spans="1:3">
      <c r="A123">
        <v>122</v>
      </c>
      <c r="B123" t="s">
        <v>256</v>
      </c>
      <c r="C123">
        <v>205</v>
      </c>
    </row>
    <row r="124" spans="1:3">
      <c r="A124">
        <v>123</v>
      </c>
      <c r="B124" t="s">
        <v>257</v>
      </c>
      <c r="C124">
        <v>200</v>
      </c>
    </row>
    <row r="125" spans="1:3">
      <c r="A125">
        <v>124</v>
      </c>
      <c r="B125" t="s">
        <v>258</v>
      </c>
      <c r="C125">
        <v>198</v>
      </c>
    </row>
    <row r="126" spans="1:3">
      <c r="A126">
        <v>125</v>
      </c>
      <c r="B126" t="s">
        <v>259</v>
      </c>
      <c r="C126">
        <v>196</v>
      </c>
    </row>
    <row r="127" spans="1:3">
      <c r="A127">
        <v>126</v>
      </c>
      <c r="B127" t="s">
        <v>260</v>
      </c>
      <c r="C127">
        <v>194</v>
      </c>
    </row>
    <row r="128" spans="1:3">
      <c r="A128">
        <v>127</v>
      </c>
      <c r="B128" t="s">
        <v>261</v>
      </c>
      <c r="C128">
        <v>193</v>
      </c>
    </row>
    <row r="129" spans="1:3">
      <c r="A129">
        <v>127</v>
      </c>
      <c r="B129" t="s">
        <v>262</v>
      </c>
      <c r="C129">
        <v>193</v>
      </c>
    </row>
    <row r="130" spans="1:3">
      <c r="A130">
        <v>129</v>
      </c>
      <c r="B130" t="s">
        <v>263</v>
      </c>
      <c r="C130">
        <v>183</v>
      </c>
    </row>
    <row r="131" spans="1:3">
      <c r="A131">
        <v>130</v>
      </c>
      <c r="B131" t="s">
        <v>264</v>
      </c>
      <c r="C131">
        <v>181</v>
      </c>
    </row>
    <row r="132" spans="1:3">
      <c r="A132">
        <v>131</v>
      </c>
      <c r="B132" t="s">
        <v>265</v>
      </c>
      <c r="C132">
        <v>171</v>
      </c>
    </row>
    <row r="133" spans="1:3">
      <c r="A133">
        <v>132</v>
      </c>
      <c r="B133" t="s">
        <v>266</v>
      </c>
      <c r="C133">
        <v>167</v>
      </c>
    </row>
    <row r="134" spans="1:3">
      <c r="A134">
        <v>133</v>
      </c>
      <c r="B134" t="s">
        <v>267</v>
      </c>
      <c r="C134">
        <v>163</v>
      </c>
    </row>
    <row r="135" spans="1:3">
      <c r="A135">
        <v>134</v>
      </c>
      <c r="B135" t="s">
        <v>268</v>
      </c>
      <c r="C135">
        <v>160</v>
      </c>
    </row>
    <row r="136" spans="1:3">
      <c r="A136">
        <v>135</v>
      </c>
      <c r="B136" t="s">
        <v>269</v>
      </c>
      <c r="C136">
        <v>155</v>
      </c>
    </row>
    <row r="137" spans="1:3">
      <c r="A137">
        <v>135</v>
      </c>
      <c r="B137" t="s">
        <v>270</v>
      </c>
      <c r="C137">
        <v>155</v>
      </c>
    </row>
    <row r="138" spans="1:3">
      <c r="A138">
        <v>137</v>
      </c>
      <c r="B138" t="s">
        <v>271</v>
      </c>
      <c r="C138">
        <v>153</v>
      </c>
    </row>
    <row r="139" spans="1:3">
      <c r="A139">
        <v>137</v>
      </c>
      <c r="B139" t="s">
        <v>272</v>
      </c>
      <c r="C139">
        <v>153</v>
      </c>
    </row>
    <row r="140" spans="1:3">
      <c r="A140">
        <v>139</v>
      </c>
      <c r="B140" t="s">
        <v>273</v>
      </c>
      <c r="C140">
        <v>151</v>
      </c>
    </row>
    <row r="141" spans="1:3">
      <c r="A141">
        <v>140</v>
      </c>
      <c r="B141" t="s">
        <v>274</v>
      </c>
      <c r="C141">
        <v>150</v>
      </c>
    </row>
    <row r="142" spans="1:3">
      <c r="A142">
        <v>141</v>
      </c>
      <c r="B142" t="s">
        <v>275</v>
      </c>
      <c r="C142">
        <v>142</v>
      </c>
    </row>
    <row r="143" spans="1:3">
      <c r="A143">
        <v>142</v>
      </c>
      <c r="B143" t="s">
        <v>276</v>
      </c>
      <c r="C143">
        <v>129</v>
      </c>
    </row>
    <row r="144" spans="1:3">
      <c r="A144">
        <v>143</v>
      </c>
      <c r="B144" t="s">
        <v>277</v>
      </c>
      <c r="C144">
        <v>128</v>
      </c>
    </row>
    <row r="145" spans="1:3">
      <c r="A145">
        <v>144</v>
      </c>
      <c r="B145" t="s">
        <v>278</v>
      </c>
      <c r="C145">
        <v>127</v>
      </c>
    </row>
    <row r="146" spans="1:3">
      <c r="A146">
        <v>145</v>
      </c>
      <c r="B146" t="s">
        <v>279</v>
      </c>
      <c r="C146">
        <v>126</v>
      </c>
    </row>
    <row r="147" spans="1:3">
      <c r="A147">
        <v>146</v>
      </c>
      <c r="B147" t="s">
        <v>280</v>
      </c>
      <c r="C147">
        <v>123</v>
      </c>
    </row>
    <row r="148" spans="1:3">
      <c r="A148">
        <v>147</v>
      </c>
      <c r="B148" t="s">
        <v>281</v>
      </c>
      <c r="C148">
        <v>122</v>
      </c>
    </row>
    <row r="149" spans="1:3">
      <c r="A149">
        <v>148</v>
      </c>
      <c r="B149" t="s">
        <v>282</v>
      </c>
      <c r="C149">
        <v>121</v>
      </c>
    </row>
    <row r="150" spans="1:3">
      <c r="A150">
        <v>149</v>
      </c>
      <c r="B150" t="s">
        <v>283</v>
      </c>
      <c r="C150">
        <v>117</v>
      </c>
    </row>
    <row r="151" spans="1:3">
      <c r="A151">
        <v>150</v>
      </c>
      <c r="B151" t="s">
        <v>284</v>
      </c>
      <c r="C151">
        <v>114</v>
      </c>
    </row>
    <row r="152" spans="1:3">
      <c r="A152">
        <v>151</v>
      </c>
      <c r="B152" t="s">
        <v>285</v>
      </c>
      <c r="C152">
        <v>113</v>
      </c>
    </row>
    <row r="153" spans="1:3">
      <c r="A153">
        <v>152</v>
      </c>
      <c r="B153" t="s">
        <v>286</v>
      </c>
      <c r="C153">
        <v>109</v>
      </c>
    </row>
    <row r="154" spans="1:3">
      <c r="A154">
        <v>153</v>
      </c>
      <c r="B154" t="s">
        <v>287</v>
      </c>
      <c r="C154">
        <v>108</v>
      </c>
    </row>
    <row r="155" spans="1:3">
      <c r="A155">
        <v>154</v>
      </c>
      <c r="B155" t="s">
        <v>288</v>
      </c>
      <c r="C155">
        <v>103</v>
      </c>
    </row>
    <row r="156" spans="1:3">
      <c r="A156">
        <v>155</v>
      </c>
      <c r="B156" t="s">
        <v>289</v>
      </c>
      <c r="C156">
        <v>101</v>
      </c>
    </row>
    <row r="157" spans="1:3">
      <c r="A157">
        <v>155</v>
      </c>
      <c r="B157" t="s">
        <v>290</v>
      </c>
      <c r="C157">
        <v>101</v>
      </c>
    </row>
    <row r="158" spans="1:3">
      <c r="A158">
        <v>157</v>
      </c>
      <c r="B158" t="s">
        <v>291</v>
      </c>
      <c r="C158">
        <v>100</v>
      </c>
    </row>
    <row r="159" spans="1:3">
      <c r="A159">
        <v>157</v>
      </c>
      <c r="B159" t="s">
        <v>292</v>
      </c>
      <c r="C159">
        <v>100</v>
      </c>
    </row>
    <row r="160" spans="1:3">
      <c r="A160">
        <v>159</v>
      </c>
      <c r="B160" t="s">
        <v>293</v>
      </c>
      <c r="C160">
        <v>99</v>
      </c>
    </row>
    <row r="161" spans="1:3">
      <c r="A161">
        <v>160</v>
      </c>
      <c r="B161" t="s">
        <v>294</v>
      </c>
      <c r="C161">
        <v>98</v>
      </c>
    </row>
    <row r="162" spans="1:3">
      <c r="A162">
        <v>161</v>
      </c>
      <c r="B162" t="s">
        <v>295</v>
      </c>
      <c r="C162">
        <v>96</v>
      </c>
    </row>
    <row r="163" spans="1:3">
      <c r="A163">
        <v>162</v>
      </c>
      <c r="B163" t="s">
        <v>296</v>
      </c>
      <c r="C163">
        <v>92</v>
      </c>
    </row>
    <row r="164" spans="1:3">
      <c r="A164">
        <v>163</v>
      </c>
      <c r="B164" t="s">
        <v>297</v>
      </c>
      <c r="C164">
        <v>91</v>
      </c>
    </row>
    <row r="165" spans="1:3">
      <c r="A165">
        <v>164</v>
      </c>
      <c r="B165" t="s">
        <v>298</v>
      </c>
      <c r="C165">
        <v>81</v>
      </c>
    </row>
    <row r="166" spans="1:3">
      <c r="A166">
        <v>165</v>
      </c>
      <c r="B166" t="s">
        <v>299</v>
      </c>
      <c r="C166">
        <v>78</v>
      </c>
    </row>
    <row r="167" spans="1:3">
      <c r="A167">
        <v>166</v>
      </c>
      <c r="B167" t="s">
        <v>300</v>
      </c>
      <c r="C167">
        <v>76</v>
      </c>
    </row>
    <row r="168" spans="1:3">
      <c r="A168">
        <v>167</v>
      </c>
      <c r="B168" t="s">
        <v>301</v>
      </c>
      <c r="C168">
        <v>75</v>
      </c>
    </row>
    <row r="169" spans="1:3">
      <c r="A169">
        <v>168</v>
      </c>
      <c r="B169" t="s">
        <v>302</v>
      </c>
      <c r="C169">
        <v>74</v>
      </c>
    </row>
    <row r="170" spans="1:3">
      <c r="A170">
        <v>169</v>
      </c>
      <c r="B170" t="s">
        <v>303</v>
      </c>
      <c r="C170">
        <v>67</v>
      </c>
    </row>
    <row r="171" spans="1:3">
      <c r="A171">
        <v>170</v>
      </c>
      <c r="B171" t="s">
        <v>304</v>
      </c>
      <c r="C171">
        <v>60</v>
      </c>
    </row>
    <row r="172" spans="1:3">
      <c r="A172">
        <v>171</v>
      </c>
      <c r="B172" t="s">
        <v>305</v>
      </c>
      <c r="C172">
        <v>43</v>
      </c>
    </row>
    <row r="173" spans="1:3">
      <c r="A173">
        <v>172</v>
      </c>
      <c r="B173" t="s">
        <v>306</v>
      </c>
      <c r="C173">
        <v>40</v>
      </c>
    </row>
    <row r="174" spans="1:3">
      <c r="A174">
        <v>173</v>
      </c>
      <c r="B174" t="s">
        <v>307</v>
      </c>
      <c r="C174">
        <v>39</v>
      </c>
    </row>
    <row r="175" spans="1:3">
      <c r="A175">
        <v>173</v>
      </c>
      <c r="B175" t="s">
        <v>308</v>
      </c>
      <c r="C175">
        <v>39</v>
      </c>
    </row>
    <row r="176" spans="1:3">
      <c r="A176">
        <v>173</v>
      </c>
      <c r="B176" t="s">
        <v>309</v>
      </c>
      <c r="C176">
        <v>39</v>
      </c>
    </row>
    <row r="177" spans="1:3">
      <c r="A177">
        <v>173</v>
      </c>
      <c r="B177" t="s">
        <v>310</v>
      </c>
      <c r="C177">
        <v>39</v>
      </c>
    </row>
    <row r="178" spans="1:3">
      <c r="A178">
        <v>177</v>
      </c>
      <c r="B178" t="s">
        <v>311</v>
      </c>
      <c r="C178">
        <v>38</v>
      </c>
    </row>
    <row r="179" spans="1:3">
      <c r="A179">
        <v>178</v>
      </c>
      <c r="B179" t="s">
        <v>312</v>
      </c>
      <c r="C179">
        <v>37</v>
      </c>
    </row>
    <row r="180" spans="1:3">
      <c r="A180">
        <v>179</v>
      </c>
      <c r="B180" t="s">
        <v>313</v>
      </c>
      <c r="C180">
        <v>36</v>
      </c>
    </row>
    <row r="181" spans="1:3">
      <c r="A181">
        <v>179</v>
      </c>
      <c r="B181" t="s">
        <v>314</v>
      </c>
      <c r="C181">
        <v>36</v>
      </c>
    </row>
    <row r="182" spans="1:3">
      <c r="A182">
        <v>181</v>
      </c>
      <c r="B182" t="s">
        <v>315</v>
      </c>
      <c r="C182">
        <v>34</v>
      </c>
    </row>
    <row r="183" spans="1:3">
      <c r="A183">
        <v>181</v>
      </c>
      <c r="B183" t="s">
        <v>316</v>
      </c>
      <c r="C183">
        <v>34</v>
      </c>
    </row>
    <row r="184" spans="1:3">
      <c r="A184">
        <v>183</v>
      </c>
      <c r="B184" t="s">
        <v>317</v>
      </c>
      <c r="C184">
        <v>33</v>
      </c>
    </row>
    <row r="185" spans="1:3">
      <c r="A185">
        <v>184</v>
      </c>
      <c r="B185" t="s">
        <v>318</v>
      </c>
      <c r="C185">
        <v>32</v>
      </c>
    </row>
    <row r="186" spans="1:3">
      <c r="A186">
        <v>185</v>
      </c>
      <c r="B186" t="s">
        <v>319</v>
      </c>
      <c r="C186">
        <v>30</v>
      </c>
    </row>
    <row r="187" spans="1:3">
      <c r="A187">
        <v>186</v>
      </c>
      <c r="B187" t="s">
        <v>320</v>
      </c>
      <c r="C187">
        <v>28</v>
      </c>
    </row>
    <row r="188" spans="1:3">
      <c r="A188">
        <v>187</v>
      </c>
      <c r="B188" t="s">
        <v>321</v>
      </c>
      <c r="C188">
        <v>26</v>
      </c>
    </row>
    <row r="189" spans="1:3">
      <c r="A189">
        <v>188</v>
      </c>
      <c r="B189" t="s">
        <v>322</v>
      </c>
      <c r="C189">
        <v>23</v>
      </c>
    </row>
    <row r="190" spans="1:3">
      <c r="A190">
        <v>189</v>
      </c>
      <c r="B190" t="s">
        <v>323</v>
      </c>
      <c r="C190">
        <v>21</v>
      </c>
    </row>
    <row r="191" spans="1:3">
      <c r="A191">
        <v>189</v>
      </c>
      <c r="B191" t="s">
        <v>324</v>
      </c>
      <c r="C191">
        <v>21</v>
      </c>
    </row>
    <row r="192" spans="1:3">
      <c r="A192">
        <v>191</v>
      </c>
      <c r="B192" t="s">
        <v>325</v>
      </c>
      <c r="C192">
        <v>19</v>
      </c>
    </row>
    <row r="193" spans="1:3">
      <c r="A193">
        <v>191</v>
      </c>
      <c r="B193" t="s">
        <v>326</v>
      </c>
      <c r="C193">
        <v>19</v>
      </c>
    </row>
    <row r="194" spans="1:3">
      <c r="A194">
        <v>191</v>
      </c>
      <c r="B194" t="s">
        <v>327</v>
      </c>
      <c r="C194">
        <v>19</v>
      </c>
    </row>
    <row r="195" spans="1:3">
      <c r="A195">
        <v>194</v>
      </c>
      <c r="B195" t="s">
        <v>328</v>
      </c>
      <c r="C195">
        <v>18</v>
      </c>
    </row>
    <row r="196" spans="1:3">
      <c r="A196">
        <v>195</v>
      </c>
      <c r="B196" t="s">
        <v>329</v>
      </c>
      <c r="C196">
        <v>17</v>
      </c>
    </row>
    <row r="197" spans="1:3">
      <c r="A197">
        <v>196</v>
      </c>
      <c r="B197" t="s">
        <v>330</v>
      </c>
      <c r="C197">
        <v>15</v>
      </c>
    </row>
    <row r="198" spans="1:3">
      <c r="A198">
        <v>197</v>
      </c>
      <c r="B198" t="s">
        <v>331</v>
      </c>
      <c r="C198">
        <v>14</v>
      </c>
    </row>
    <row r="199" spans="1:3">
      <c r="A199">
        <v>198</v>
      </c>
      <c r="B199" t="s">
        <v>332</v>
      </c>
      <c r="C199">
        <v>11</v>
      </c>
    </row>
    <row r="200" spans="1:3">
      <c r="A200">
        <v>199</v>
      </c>
      <c r="B200" t="s">
        <v>333</v>
      </c>
      <c r="C200">
        <v>5</v>
      </c>
    </row>
    <row r="201" spans="1:3">
      <c r="A201">
        <v>200</v>
      </c>
      <c r="B201" t="s">
        <v>334</v>
      </c>
      <c r="C201">
        <v>4</v>
      </c>
    </row>
    <row r="202" spans="1:3">
      <c r="A202">
        <v>201</v>
      </c>
      <c r="B202" t="s">
        <v>335</v>
      </c>
      <c r="C202">
        <v>2</v>
      </c>
    </row>
    <row r="203" spans="1:3">
      <c r="A203">
        <v>202</v>
      </c>
      <c r="B203" t="s">
        <v>336</v>
      </c>
      <c r="C203">
        <v>1</v>
      </c>
    </row>
    <row r="204" spans="1:3">
      <c r="A204">
        <v>203</v>
      </c>
      <c r="B204" t="s">
        <v>337</v>
      </c>
      <c r="C204">
        <v>1</v>
      </c>
    </row>
    <row r="205" spans="1:3">
      <c r="A205">
        <v>204</v>
      </c>
      <c r="B205" t="s">
        <v>338</v>
      </c>
      <c r="C205">
        <v>1</v>
      </c>
    </row>
    <row r="206" spans="1:3">
      <c r="A206">
        <v>205</v>
      </c>
      <c r="B206" t="s">
        <v>339</v>
      </c>
      <c r="C206">
        <v>1</v>
      </c>
    </row>
    <row r="207" spans="1:3">
      <c r="A207">
        <v>206</v>
      </c>
      <c r="B207" t="s">
        <v>340</v>
      </c>
      <c r="C207">
        <v>1</v>
      </c>
    </row>
    <row r="208" spans="1:3">
      <c r="A208">
        <v>207</v>
      </c>
      <c r="B208" t="s">
        <v>341</v>
      </c>
      <c r="C208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54</vt:i4>
      </vt:variant>
    </vt:vector>
  </HeadingPairs>
  <TitlesOfParts>
    <vt:vector size="56" baseType="lpstr">
      <vt:lpstr>invulformulier</vt:lpstr>
      <vt:lpstr>rangschikking</vt:lpstr>
      <vt:lpstr>invulformulier!Afdrukbereik</vt:lpstr>
      <vt:lpstr>Bulgaria_Against</vt:lpstr>
      <vt:lpstr>Bulgaria_Played</vt:lpstr>
      <vt:lpstr>Bulgaria_Results</vt:lpstr>
      <vt:lpstr>Croatia_Against</vt:lpstr>
      <vt:lpstr>Croatia_Played</vt:lpstr>
      <vt:lpstr>Croatia_Results</vt:lpstr>
      <vt:lpstr>Czech_Against</vt:lpstr>
      <vt:lpstr>Czech_Played</vt:lpstr>
      <vt:lpstr>Czech_Rep_Against</vt:lpstr>
      <vt:lpstr>Czech_Rep_Played</vt:lpstr>
      <vt:lpstr>Czech_Rep_Results</vt:lpstr>
      <vt:lpstr>Czech_Results</vt:lpstr>
      <vt:lpstr>Denmark_Against</vt:lpstr>
      <vt:lpstr>Denmark_Played</vt:lpstr>
      <vt:lpstr>Denmark_Results</vt:lpstr>
      <vt:lpstr>England_Against</vt:lpstr>
      <vt:lpstr>England_Played</vt:lpstr>
      <vt:lpstr>England_Results</vt:lpstr>
      <vt:lpstr>France_Against</vt:lpstr>
      <vt:lpstr>France_Played</vt:lpstr>
      <vt:lpstr>France_Results</vt:lpstr>
      <vt:lpstr>Germany_Against</vt:lpstr>
      <vt:lpstr>Germany_Played</vt:lpstr>
      <vt:lpstr>Germany_Results</vt:lpstr>
      <vt:lpstr>Greece_Against</vt:lpstr>
      <vt:lpstr>Greece_Played</vt:lpstr>
      <vt:lpstr>Greece_Results</vt:lpstr>
      <vt:lpstr>Groupstage_Losers</vt:lpstr>
      <vt:lpstr>Groupstage_Winners</vt:lpstr>
      <vt:lpstr>Holland_Against</vt:lpstr>
      <vt:lpstr>Holland_Played</vt:lpstr>
      <vt:lpstr>Holland_Results</vt:lpstr>
      <vt:lpstr>Italy_Against</vt:lpstr>
      <vt:lpstr>Italy_Played</vt:lpstr>
      <vt:lpstr>Italy_Results</vt:lpstr>
      <vt:lpstr>Latvia_Against</vt:lpstr>
      <vt:lpstr>Latvia_Played</vt:lpstr>
      <vt:lpstr>Latvia_Results</vt:lpstr>
      <vt:lpstr>Portugal_Against</vt:lpstr>
      <vt:lpstr>Portugal_Played</vt:lpstr>
      <vt:lpstr>Portugal_Results</vt:lpstr>
      <vt:lpstr>Russia_Against</vt:lpstr>
      <vt:lpstr>Russia_Played</vt:lpstr>
      <vt:lpstr>Russia_Results</vt:lpstr>
      <vt:lpstr>Spain_Against</vt:lpstr>
      <vt:lpstr>Spain_Played</vt:lpstr>
      <vt:lpstr>Spain_Results</vt:lpstr>
      <vt:lpstr>Sweden_Against</vt:lpstr>
      <vt:lpstr>Sweden_Played</vt:lpstr>
      <vt:lpstr>Sweden_Results</vt:lpstr>
      <vt:lpstr>Switzerland_Against</vt:lpstr>
      <vt:lpstr>Switzerland_Played</vt:lpstr>
      <vt:lpstr>Switzerland_Results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Peter Dawyndt</cp:lastModifiedBy>
  <cp:lastPrinted>2010-06-09T17:35:35Z</cp:lastPrinted>
  <dcterms:created xsi:type="dcterms:W3CDTF">2010-04-21T21:38:57Z</dcterms:created>
  <dcterms:modified xsi:type="dcterms:W3CDTF">2010-06-20T12:20:05Z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separator idQ="doc:sep1" visible="true"/>
        <mso:button idQ="doc:C:_temp_wereldbeker2010.xlsm_voorspelling_1" visible="true" label="voorspelling" onAction="C:\temp\wereldbeker2010.xlsm!voorspelling" imageMso="ListMacros"/>
      </mso:documentControls>
    </mso:qat>
  </mso:ribbon>
</mso:customUI>
</file>